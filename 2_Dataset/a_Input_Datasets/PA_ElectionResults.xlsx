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Documents/"/>
    </mc:Choice>
  </mc:AlternateContent>
  <xr:revisionPtr revIDLastSave="0" documentId="13_ncr:1_{491BE7B7-43CB-504D-AC67-4B1550744759}" xr6:coauthVersionLast="47" xr6:coauthVersionMax="47" xr10:uidLastSave="{00000000-0000-0000-0000-000000000000}"/>
  <bookViews>
    <workbookView xWindow="11740" yWindow="500" windowWidth="17020" windowHeight="16380" xr2:uid="{E4B50AFD-811F-2149-A306-44D568225C1D}"/>
  </bookViews>
  <sheets>
    <sheet name="Sheet1" sheetId="1" r:id="rId1"/>
    <sheet name="Sheet2" sheetId="2" r:id="rId2"/>
  </sheets>
  <definedNames>
    <definedName name="_xlnm._FilterDatabase" localSheetId="0" hidden="1">Sheet1!$A$1:$M$68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8" i="1" l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<sst xmlns="http://schemas.openxmlformats.org/spreadsheetml/2006/main" count="202" uniqueCount="135">
  <si>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</si>
  <si>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</si>
  <si>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</si>
  <si>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</si>
  <si>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</si>
  <si>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</si>
  <si>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</si>
  <si>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</si>
  <si>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</si>
  <si>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</si>
  <si>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</si>
  <si>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</si>
  <si>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</si>
  <si>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</si>
  <si>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</si>
  <si>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</si>
  <si>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</si>
  <si>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</si>
  <si>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</si>
  <si>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</si>
  <si>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</si>
  <si>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</si>
  <si>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</si>
  <si>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</si>
  <si>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</si>
  <si>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</si>
  <si>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</si>
  <si>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</si>
  <si>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</si>
  <si>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</si>
  <si>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</si>
  <si>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</si>
  <si>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</si>
  <si>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</si>
  <si>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</si>
  <si>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</si>
  <si>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</si>
  <si>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</si>
  <si>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</si>
  <si>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</si>
  <si>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</si>
  <si>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</si>
  <si>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</si>
  <si>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</si>
  <si>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</si>
  <si>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</si>
  <si>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</si>
  <si>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</si>
  <si>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</si>
  <si>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</si>
  <si>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</si>
  <si>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</si>
  <si>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</si>
  <si>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</si>
  <si>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</si>
  <si>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</si>
  <si>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</si>
  <si>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</si>
  <si>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</si>
  <si>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</si>
  <si>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</si>
  <si>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</si>
  <si>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</si>
  <si>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</si>
  <si>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</si>
  <si>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</si>
  <si>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</si>
  <si>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admin2</t>
  </si>
  <si>
    <t>Dem_VoteShare22_Senate</t>
  </si>
  <si>
    <t>Rep_VoteShare22_Senate</t>
  </si>
  <si>
    <t>DemWinMarginPP_22_Senate</t>
  </si>
  <si>
    <t>−34.00%</t>
  </si>
  <si>
    <t>−52.25%</t>
  </si>
  <si>
    <t>−17.63%</t>
  </si>
  <si>
    <t>−67.57%</t>
  </si>
  <si>
    <t>−8.14%</t>
  </si>
  <si>
    <t>−43.40%</t>
  </si>
  <si>
    <t>−44.84%</t>
  </si>
  <si>
    <t>−32.42%</t>
  </si>
  <si>
    <t>−37.25%</t>
  </si>
  <si>
    <t>−46.60%</t>
  </si>
  <si>
    <t>−31.98%</t>
  </si>
  <si>
    <t>−50.71%</t>
  </si>
  <si>
    <t>−49.45%</t>
  </si>
  <si>
    <t>−36.24%</t>
  </si>
  <si>
    <t>−30.58%</t>
  </si>
  <si>
    <t>−37.13%</t>
  </si>
  <si>
    <t>−10.52%</t>
  </si>
  <si>
    <t>−44.96%</t>
  </si>
  <si>
    <t>−33.37%</t>
  </si>
  <si>
    <t>−43.48%</t>
  </si>
  <si>
    <t>−42.98%</t>
  </si>
  <si>
    <t>−71.83%</t>
  </si>
  <si>
    <t>−43.33%</t>
  </si>
  <si>
    <t>−50.85%</t>
  </si>
  <si>
    <t>−37.43%</t>
  </si>
  <si>
    <t>−58.74%</t>
  </si>
  <si>
    <t>−61.27%</t>
  </si>
  <si>
    <t>−15.77%</t>
  </si>
  <si>
    <t>−29.49%</t>
  </si>
  <si>
    <t>−31.73%</t>
  </si>
  <si>
    <t>−14.37%</t>
  </si>
  <si>
    <t>−41.23%</t>
  </si>
  <si>
    <t>−46.05%</t>
  </si>
  <si>
    <t>−25.94%</t>
  </si>
  <si>
    <t>−56.01%</t>
  </si>
  <si>
    <t>−21.12%</t>
  </si>
  <si>
    <t>−38.34%</t>
  </si>
  <si>
    <t>−49.92%</t>
  </si>
  <si>
    <t>−18.97%</t>
  </si>
  <si>
    <t>−60.68%</t>
  </si>
  <si>
    <t>−39.78%</t>
  </si>
  <si>
    <t>−47.30%</t>
  </si>
  <si>
    <t>−56.15%</t>
  </si>
  <si>
    <t>−47.19%</t>
  </si>
  <si>
    <t>−41.13%</t>
  </si>
  <si>
    <t>−51.06%</t>
  </si>
  <si>
    <t>−24.17%</t>
  </si>
  <si>
    <t>−41.30%</t>
  </si>
  <si>
    <t>−39.55%</t>
  </si>
  <si>
    <t>−22.73%</t>
  </si>
  <si>
    <t>−33.56%</t>
  </si>
  <si>
    <t>−28.30%</t>
  </si>
  <si>
    <t>−35.11%</t>
  </si>
  <si>
    <t>−24.51%</t>
  </si>
  <si>
    <t>Dem_VoteShare20_GenEl</t>
  </si>
  <si>
    <t>Rep_VoteShare20_GenEl</t>
  </si>
  <si>
    <t>DemWinMarginPP_20_GenEl</t>
  </si>
  <si>
    <t>Flip22_ReptoDem_Senate</t>
  </si>
  <si>
    <t>Flip20_ReptoDem_GenEl</t>
  </si>
  <si>
    <t>WinningParty22_Senate</t>
  </si>
  <si>
    <t>WinningParty20_GenEl</t>
  </si>
  <si>
    <t>Shift_ReptoDem_20to22</t>
  </si>
  <si>
    <t>Shift_dem_20to22</t>
  </si>
  <si>
    <t>Shift Rep_20to22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</si>
</sst>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3"/>
      <color rgb="FF202122"/>
      <name val="Arial"/>
      <family val="2"/>
    </font>
    <font>
      <sz val="13"/>
      <color rgb="FF202122"/>
      <name val="Arial"/>
      <family val="2"/>
    </font>
    <font>
      <u/>
      <sz val="12"/>
      <color theme="10"/>
      <name val="Aptos Narrow"/>
      <family val="2"/>
      <scheme val="minor"/>
    </font>
    <font>
      <sz val="14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1"/>
    <xf numFmtId="0" fontId="2" fillId="0" borderId="0" xfId="0" applyFont="1"/>
    <xf numFmtId="0" fontId="1" fillId="0" borderId="0" xfId="0" applyFont="1"/>
    <xf numFmtId="3" fontId="4" fillId="0" borderId="0" xfId="0" applyNumberFormat="1" applyFont="1"/>
    <xf numFmtId="10" fontId="4" fillId="0" borderId="0" xfId="0" applyNumberFormat="1" applyFont="1"/>
    <xf numFmtId="0" fontId="4" fillId="0" borderId="0" xfId="0" applyFont="1"/>
    <xf numFmtId="0" fontId="2" fillId="0" borderId="0" xfId="0" applyNumberFormat="1" applyFont="1"/>
    <xf numFmtId="2" fontId="4" fillId="0" borderId="0" xfId="0" applyNumberFormat="1" applyFont="1"/>
    <xf numFmtId="0" fontId="4" fillId="0" borderId="0" xfId="0" applyNumberFormat="1" applyFont="1"/>
    <xf numFmtId="0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Fayette_County,_Pennsylvania" TargetMode="External"/><Relationship Id="rId21" Type="http://schemas.openxmlformats.org/officeDocument/2006/relationships/hyperlink" Target="https://en.wikipedia.org/wiki/Cumberland_County,_Pennsylvania" TargetMode="External"/><Relationship Id="rId34" Type="http://schemas.openxmlformats.org/officeDocument/2006/relationships/hyperlink" Target="https://en.wikipedia.org/wiki/Juniata_County,_Pennsylvania" TargetMode="External"/><Relationship Id="rId42" Type="http://schemas.openxmlformats.org/officeDocument/2006/relationships/hyperlink" Target="https://en.wikipedia.org/wiki/McKean_County,_Pennsylvania" TargetMode="External"/><Relationship Id="rId47" Type="http://schemas.openxmlformats.org/officeDocument/2006/relationships/hyperlink" Target="https://en.wikipedia.org/wiki/Montour_County,_Pennsylvania" TargetMode="External"/><Relationship Id="rId50" Type="http://schemas.openxmlformats.org/officeDocument/2006/relationships/hyperlink" Target="https://en.wikipedia.org/wiki/Perry_County,_Pennsylvania" TargetMode="External"/><Relationship Id="rId55" Type="http://schemas.openxmlformats.org/officeDocument/2006/relationships/hyperlink" Target="https://en.wikipedia.org/wiki/Snyder_County,_Pennsylvania" TargetMode="External"/><Relationship Id="rId63" Type="http://schemas.openxmlformats.org/officeDocument/2006/relationships/hyperlink" Target="https://en.wikipedia.org/wiki/Washington_County,_Pennsylvania" TargetMode="External"/><Relationship Id="rId7" Type="http://schemas.openxmlformats.org/officeDocument/2006/relationships/hyperlink" Target="https://en.wikipedia.org/wiki/Blair_County,_Pennsylvania" TargetMode="External"/><Relationship Id="rId2" Type="http://schemas.openxmlformats.org/officeDocument/2006/relationships/hyperlink" Target="https://en.wikipedia.org/wiki/Allegheny_County,_Pennsylvania" TargetMode="External"/><Relationship Id="rId16" Type="http://schemas.openxmlformats.org/officeDocument/2006/relationships/hyperlink" Target="https://en.wikipedia.org/wiki/Clarion_County,_Pennsylvania" TargetMode="External"/><Relationship Id="rId29" Type="http://schemas.openxmlformats.org/officeDocument/2006/relationships/hyperlink" Target="https://en.wikipedia.org/wiki/Fulton_County,_Pennsylvania" TargetMode="External"/><Relationship Id="rId11" Type="http://schemas.openxmlformats.org/officeDocument/2006/relationships/hyperlink" Target="https://en.wikipedia.org/wiki/Cambria_County,_Pennsylvania" TargetMode="External"/><Relationship Id="rId24" Type="http://schemas.openxmlformats.org/officeDocument/2006/relationships/hyperlink" Target="https://en.wikipedia.org/wiki/Elk_County,_Pennsylvania" TargetMode="External"/><Relationship Id="rId32" Type="http://schemas.openxmlformats.org/officeDocument/2006/relationships/hyperlink" Target="https://en.wikipedia.org/wiki/Indiana_County,_Pennsylvania" TargetMode="External"/><Relationship Id="rId37" Type="http://schemas.openxmlformats.org/officeDocument/2006/relationships/hyperlink" Target="https://en.wikipedia.org/wiki/Lawrence_County,_Pennsylvania" TargetMode="External"/><Relationship Id="rId40" Type="http://schemas.openxmlformats.org/officeDocument/2006/relationships/hyperlink" Target="https://en.wikipedia.org/wiki/Luzerne_County,_Pennsylvania" TargetMode="External"/><Relationship Id="rId45" Type="http://schemas.openxmlformats.org/officeDocument/2006/relationships/hyperlink" Target="https://en.wikipedia.org/wiki/Monroe_County,_Pennsylvania" TargetMode="External"/><Relationship Id="rId53" Type="http://schemas.openxmlformats.org/officeDocument/2006/relationships/hyperlink" Target="https://en.wikipedia.org/wiki/Potter_County,_Pennsylvania" TargetMode="External"/><Relationship Id="rId58" Type="http://schemas.openxmlformats.org/officeDocument/2006/relationships/hyperlink" Target="https://en.wikipedia.org/wiki/Susquehanna_County,_Pennsylvania" TargetMode="External"/><Relationship Id="rId66" Type="http://schemas.openxmlformats.org/officeDocument/2006/relationships/hyperlink" Target="https://en.wikipedia.org/wiki/Wyoming_County,_Pennsylvania" TargetMode="External"/><Relationship Id="rId5" Type="http://schemas.openxmlformats.org/officeDocument/2006/relationships/hyperlink" Target="https://en.wikipedia.org/wiki/Bedford_County,_Pennsylvania" TargetMode="External"/><Relationship Id="rId61" Type="http://schemas.openxmlformats.org/officeDocument/2006/relationships/hyperlink" Target="https://en.wikipedia.org/wiki/Venango_County,_Pennsylvania" TargetMode="External"/><Relationship Id="rId19" Type="http://schemas.openxmlformats.org/officeDocument/2006/relationships/hyperlink" Target="https://en.wikipedia.org/wiki/Columbia_County,_Pennsylvania" TargetMode="External"/><Relationship Id="rId14" Type="http://schemas.openxmlformats.org/officeDocument/2006/relationships/hyperlink" Target="https://en.wikipedia.org/wiki/Centre_County,_Pennsylvania" TargetMode="External"/><Relationship Id="rId22" Type="http://schemas.openxmlformats.org/officeDocument/2006/relationships/hyperlink" Target="https://en.wikipedia.org/wiki/Dauphin_County,_Pennsylvania" TargetMode="External"/><Relationship Id="rId27" Type="http://schemas.openxmlformats.org/officeDocument/2006/relationships/hyperlink" Target="https://en.wikipedia.org/wiki/Forest_County,_Pennsylvania" TargetMode="External"/><Relationship Id="rId30" Type="http://schemas.openxmlformats.org/officeDocument/2006/relationships/hyperlink" Target="https://en.wikipedia.org/wiki/Greene_County,_Pennsylvania" TargetMode="External"/><Relationship Id="rId35" Type="http://schemas.openxmlformats.org/officeDocument/2006/relationships/hyperlink" Target="https://en.wikipedia.org/wiki/Lackawanna_County,_Pennsylvania" TargetMode="External"/><Relationship Id="rId43" Type="http://schemas.openxmlformats.org/officeDocument/2006/relationships/hyperlink" Target="https://en.wikipedia.org/wiki/Mercer_County,_Pennsylvania" TargetMode="External"/><Relationship Id="rId48" Type="http://schemas.openxmlformats.org/officeDocument/2006/relationships/hyperlink" Target="https://en.wikipedia.org/wiki/Northampton_County,_Pennsylvania" TargetMode="External"/><Relationship Id="rId56" Type="http://schemas.openxmlformats.org/officeDocument/2006/relationships/hyperlink" Target="https://en.wikipedia.org/wiki/Somerset_County,_Pennsylvania" TargetMode="External"/><Relationship Id="rId64" Type="http://schemas.openxmlformats.org/officeDocument/2006/relationships/hyperlink" Target="https://en.wikipedia.org/wiki/Wayne_County,_Pennsylvania" TargetMode="External"/><Relationship Id="rId8" Type="http://schemas.openxmlformats.org/officeDocument/2006/relationships/hyperlink" Target="https://en.wikipedia.org/wiki/Bradford_County,_Pennsylvania" TargetMode="External"/><Relationship Id="rId51" Type="http://schemas.openxmlformats.org/officeDocument/2006/relationships/hyperlink" Target="https://en.wikipedia.org/wiki/Philadelphia_County,_Pennsylvania" TargetMode="External"/><Relationship Id="rId3" Type="http://schemas.openxmlformats.org/officeDocument/2006/relationships/hyperlink" Target="https://en.wikipedia.org/wiki/Armstrong_County,_Pennsylvania" TargetMode="External"/><Relationship Id="rId12" Type="http://schemas.openxmlformats.org/officeDocument/2006/relationships/hyperlink" Target="https://en.wikipedia.org/wiki/Cameron_County,_Pennsylvania" TargetMode="External"/><Relationship Id="rId17" Type="http://schemas.openxmlformats.org/officeDocument/2006/relationships/hyperlink" Target="https://en.wikipedia.org/wiki/Clearfield_County,_Pennsylvania" TargetMode="External"/><Relationship Id="rId25" Type="http://schemas.openxmlformats.org/officeDocument/2006/relationships/hyperlink" Target="https://en.wikipedia.org/wiki/Erie_County,_Pennsylvania" TargetMode="External"/><Relationship Id="rId33" Type="http://schemas.openxmlformats.org/officeDocument/2006/relationships/hyperlink" Target="https://en.wikipedia.org/wiki/Jefferson_County,_Pennsylvania" TargetMode="External"/><Relationship Id="rId38" Type="http://schemas.openxmlformats.org/officeDocument/2006/relationships/hyperlink" Target="https://en.wikipedia.org/wiki/Lebanon_County,_Pennsylvania" TargetMode="External"/><Relationship Id="rId46" Type="http://schemas.openxmlformats.org/officeDocument/2006/relationships/hyperlink" Target="https://en.wikipedia.org/wiki/Montgomery_County,_Pennsylvania" TargetMode="External"/><Relationship Id="rId59" Type="http://schemas.openxmlformats.org/officeDocument/2006/relationships/hyperlink" Target="https://en.wikipedia.org/wiki/Tioga_County,_Pennsylvania" TargetMode="External"/><Relationship Id="rId67" Type="http://schemas.openxmlformats.org/officeDocument/2006/relationships/hyperlink" Target="https://en.wikipedia.org/wiki/York_County,_Pennsylvania" TargetMode="External"/><Relationship Id="rId20" Type="http://schemas.openxmlformats.org/officeDocument/2006/relationships/hyperlink" Target="https://en.wikipedia.org/wiki/Crawford_County,_Pennsylvania" TargetMode="External"/><Relationship Id="rId41" Type="http://schemas.openxmlformats.org/officeDocument/2006/relationships/hyperlink" Target="https://en.wikipedia.org/wiki/Lycoming_County,_Pennsylvania" TargetMode="External"/><Relationship Id="rId54" Type="http://schemas.openxmlformats.org/officeDocument/2006/relationships/hyperlink" Target="https://en.wikipedia.org/wiki/Schuylkill_County,_Pennsylvania" TargetMode="External"/><Relationship Id="rId62" Type="http://schemas.openxmlformats.org/officeDocument/2006/relationships/hyperlink" Target="https://en.wikipedia.org/wiki/Warren_County,_Pennsylvania" TargetMode="External"/><Relationship Id="rId1" Type="http://schemas.openxmlformats.org/officeDocument/2006/relationships/hyperlink" Target="https://en.wikipedia.org/wiki/Adams_County,_Pennsylvania" TargetMode="External"/><Relationship Id="rId6" Type="http://schemas.openxmlformats.org/officeDocument/2006/relationships/hyperlink" Target="https://en.wikipedia.org/wiki/Berks_County,_Pennsylvania" TargetMode="External"/><Relationship Id="rId15" Type="http://schemas.openxmlformats.org/officeDocument/2006/relationships/hyperlink" Target="https://en.wikipedia.org/wiki/Chester_County,_Pennsylvania" TargetMode="External"/><Relationship Id="rId23" Type="http://schemas.openxmlformats.org/officeDocument/2006/relationships/hyperlink" Target="https://en.wikipedia.org/wiki/Delaware_County,_Pennsylvania" TargetMode="External"/><Relationship Id="rId28" Type="http://schemas.openxmlformats.org/officeDocument/2006/relationships/hyperlink" Target="https://en.wikipedia.org/wiki/Franklin_County,_Pennsylvania" TargetMode="External"/><Relationship Id="rId36" Type="http://schemas.openxmlformats.org/officeDocument/2006/relationships/hyperlink" Target="https://en.wikipedia.org/wiki/Lancaster_County,_Pennsylvania" TargetMode="External"/><Relationship Id="rId49" Type="http://schemas.openxmlformats.org/officeDocument/2006/relationships/hyperlink" Target="https://en.wikipedia.org/wiki/Northumberland_County,_Pennsylvania" TargetMode="External"/><Relationship Id="rId57" Type="http://schemas.openxmlformats.org/officeDocument/2006/relationships/hyperlink" Target="https://en.wikipedia.org/wiki/Sullivan_County,_Pennsylvania" TargetMode="External"/><Relationship Id="rId10" Type="http://schemas.openxmlformats.org/officeDocument/2006/relationships/hyperlink" Target="https://en.wikipedia.org/wiki/Butler_County,_Pennsylvania" TargetMode="External"/><Relationship Id="rId31" Type="http://schemas.openxmlformats.org/officeDocument/2006/relationships/hyperlink" Target="https://en.wikipedia.org/wiki/Huntingdon_County,_Pennsylvania" TargetMode="External"/><Relationship Id="rId44" Type="http://schemas.openxmlformats.org/officeDocument/2006/relationships/hyperlink" Target="https://en.wikipedia.org/wiki/Mifflin_County,_Pennsylvania" TargetMode="External"/><Relationship Id="rId52" Type="http://schemas.openxmlformats.org/officeDocument/2006/relationships/hyperlink" Target="https://en.wikipedia.org/wiki/Pike_County,_Pennsylvania" TargetMode="External"/><Relationship Id="rId60" Type="http://schemas.openxmlformats.org/officeDocument/2006/relationships/hyperlink" Target="https://en.wikipedia.org/wiki/Union_County,_Pennsylvania" TargetMode="External"/><Relationship Id="rId65" Type="http://schemas.openxmlformats.org/officeDocument/2006/relationships/hyperlink" Target="https://en.wikipedia.org/wiki/Westmoreland_County,_Pennsylvania" TargetMode="External"/><Relationship Id="rId4" Type="http://schemas.openxmlformats.org/officeDocument/2006/relationships/hyperlink" Target="https://en.wikipedia.org/wiki/Beaver_County,_Pennsylvania" TargetMode="External"/><Relationship Id="rId9" Type="http://schemas.openxmlformats.org/officeDocument/2006/relationships/hyperlink" Target="https://en.wikipedia.org/wiki/Bucks_County,_Pennsylvania" TargetMode="External"/><Relationship Id="rId13" Type="http://schemas.openxmlformats.org/officeDocument/2006/relationships/hyperlink" Target="https://en.wikipedia.org/wiki/Carbon_County,_Pennsylvania" TargetMode="External"/><Relationship Id="rId18" Type="http://schemas.openxmlformats.org/officeDocument/2006/relationships/hyperlink" Target="https://en.wikipedia.org/wiki/Clinton_County,_Pennsylvania" TargetMode="External"/><Relationship Id="rId39" Type="http://schemas.openxmlformats.org/officeDocument/2006/relationships/hyperlink" Target="https://en.wikipedia.org/wiki/Lehigh_County,_Pennsylvania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Fayette_County,_Pennsylvania" TargetMode="External"/><Relationship Id="rId21" Type="http://schemas.openxmlformats.org/officeDocument/2006/relationships/hyperlink" Target="https://en.wikipedia.org/wiki/Cumberland_County,_Pennsylvania" TargetMode="External"/><Relationship Id="rId34" Type="http://schemas.openxmlformats.org/officeDocument/2006/relationships/hyperlink" Target="https://en.wikipedia.org/wiki/Juniata_County,_Pennsylvania" TargetMode="External"/><Relationship Id="rId42" Type="http://schemas.openxmlformats.org/officeDocument/2006/relationships/hyperlink" Target="https://en.wikipedia.org/wiki/McKean_County,_Pennsylvania" TargetMode="External"/><Relationship Id="rId47" Type="http://schemas.openxmlformats.org/officeDocument/2006/relationships/hyperlink" Target="https://en.wikipedia.org/wiki/Montour_County,_Pennsylvania" TargetMode="External"/><Relationship Id="rId50" Type="http://schemas.openxmlformats.org/officeDocument/2006/relationships/hyperlink" Target="https://en.wikipedia.org/wiki/Perry_County,_Pennsylvania" TargetMode="External"/><Relationship Id="rId55" Type="http://schemas.openxmlformats.org/officeDocument/2006/relationships/hyperlink" Target="https://en.wikipedia.org/wiki/Snyder_County,_Pennsylvania" TargetMode="External"/><Relationship Id="rId63" Type="http://schemas.openxmlformats.org/officeDocument/2006/relationships/hyperlink" Target="https://en.wikipedia.org/wiki/Washington_County,_Pennsylvania" TargetMode="External"/><Relationship Id="rId7" Type="http://schemas.openxmlformats.org/officeDocument/2006/relationships/hyperlink" Target="https://en.wikipedia.org/wiki/Blair_County,_Pennsylvania" TargetMode="External"/><Relationship Id="rId2" Type="http://schemas.openxmlformats.org/officeDocument/2006/relationships/hyperlink" Target="https://en.wikipedia.org/wiki/Allegheny_County,_Pennsylvania" TargetMode="External"/><Relationship Id="rId16" Type="http://schemas.openxmlformats.org/officeDocument/2006/relationships/hyperlink" Target="https://en.wikipedia.org/wiki/Clarion_County,_Pennsylvania" TargetMode="External"/><Relationship Id="rId29" Type="http://schemas.openxmlformats.org/officeDocument/2006/relationships/hyperlink" Target="https://en.wikipedia.org/wiki/Fulton_County,_Pennsylvania" TargetMode="External"/><Relationship Id="rId11" Type="http://schemas.openxmlformats.org/officeDocument/2006/relationships/hyperlink" Target="https://en.wikipedia.org/wiki/Cambria_County,_Pennsylvania" TargetMode="External"/><Relationship Id="rId24" Type="http://schemas.openxmlformats.org/officeDocument/2006/relationships/hyperlink" Target="https://en.wikipedia.org/wiki/Elk_County,_Pennsylvania" TargetMode="External"/><Relationship Id="rId32" Type="http://schemas.openxmlformats.org/officeDocument/2006/relationships/hyperlink" Target="https://en.wikipedia.org/wiki/Indiana_County,_Pennsylvania" TargetMode="External"/><Relationship Id="rId37" Type="http://schemas.openxmlformats.org/officeDocument/2006/relationships/hyperlink" Target="https://en.wikipedia.org/wiki/Lawrence_County,_Pennsylvania" TargetMode="External"/><Relationship Id="rId40" Type="http://schemas.openxmlformats.org/officeDocument/2006/relationships/hyperlink" Target="https://en.wikipedia.org/wiki/Luzerne_County,_Pennsylvania" TargetMode="External"/><Relationship Id="rId45" Type="http://schemas.openxmlformats.org/officeDocument/2006/relationships/hyperlink" Target="https://en.wikipedia.org/wiki/Monroe_County,_Pennsylvania" TargetMode="External"/><Relationship Id="rId53" Type="http://schemas.openxmlformats.org/officeDocument/2006/relationships/hyperlink" Target="https://en.wikipedia.org/wiki/Potter_County,_Pennsylvania" TargetMode="External"/><Relationship Id="rId58" Type="http://schemas.openxmlformats.org/officeDocument/2006/relationships/hyperlink" Target="https://en.wikipedia.org/wiki/Susquehanna_County,_Pennsylvania" TargetMode="External"/><Relationship Id="rId66" Type="http://schemas.openxmlformats.org/officeDocument/2006/relationships/hyperlink" Target="https://en.wikipedia.org/wiki/Wyoming_County,_Pennsylvania" TargetMode="External"/><Relationship Id="rId5" Type="http://schemas.openxmlformats.org/officeDocument/2006/relationships/hyperlink" Target="https://en.wikipedia.org/wiki/Bedford_County,_Pennsylvania" TargetMode="External"/><Relationship Id="rId61" Type="http://schemas.openxmlformats.org/officeDocument/2006/relationships/hyperlink" Target="https://en.wikipedia.org/wiki/Venango_County,_Pennsylvania" TargetMode="External"/><Relationship Id="rId19" Type="http://schemas.openxmlformats.org/officeDocument/2006/relationships/hyperlink" Target="https://en.wikipedia.org/wiki/Columbia_County,_Pennsylvania" TargetMode="External"/><Relationship Id="rId14" Type="http://schemas.openxmlformats.org/officeDocument/2006/relationships/hyperlink" Target="https://en.wikipedia.org/wiki/Centre_County,_Pennsylvania" TargetMode="External"/><Relationship Id="rId22" Type="http://schemas.openxmlformats.org/officeDocument/2006/relationships/hyperlink" Target="https://en.wikipedia.org/wiki/Dauphin_County,_Pennsylvania" TargetMode="External"/><Relationship Id="rId27" Type="http://schemas.openxmlformats.org/officeDocument/2006/relationships/hyperlink" Target="https://en.wikipedia.org/wiki/Forest_County,_Pennsylvania" TargetMode="External"/><Relationship Id="rId30" Type="http://schemas.openxmlformats.org/officeDocument/2006/relationships/hyperlink" Target="https://en.wikipedia.org/wiki/Greene_County,_Pennsylvania" TargetMode="External"/><Relationship Id="rId35" Type="http://schemas.openxmlformats.org/officeDocument/2006/relationships/hyperlink" Target="https://en.wikipedia.org/wiki/Lackawanna_County,_Pennsylvania" TargetMode="External"/><Relationship Id="rId43" Type="http://schemas.openxmlformats.org/officeDocument/2006/relationships/hyperlink" Target="https://en.wikipedia.org/wiki/Mercer_County,_Pennsylvania" TargetMode="External"/><Relationship Id="rId48" Type="http://schemas.openxmlformats.org/officeDocument/2006/relationships/hyperlink" Target="https://en.wikipedia.org/wiki/Northampton_County,_Pennsylvania" TargetMode="External"/><Relationship Id="rId56" Type="http://schemas.openxmlformats.org/officeDocument/2006/relationships/hyperlink" Target="https://en.wikipedia.org/wiki/Somerset_County,_Pennsylvania" TargetMode="External"/><Relationship Id="rId64" Type="http://schemas.openxmlformats.org/officeDocument/2006/relationships/hyperlink" Target="https://en.wikipedia.org/wiki/Wayne_County,_Pennsylvania" TargetMode="External"/><Relationship Id="rId8" Type="http://schemas.openxmlformats.org/officeDocument/2006/relationships/hyperlink" Target="https://en.wikipedia.org/wiki/Bradford_County,_Pennsylvania" TargetMode="External"/><Relationship Id="rId51" Type="http://schemas.openxmlformats.org/officeDocument/2006/relationships/hyperlink" Target="https://en.wikipedia.org/wiki/Philadelphia_County,_Pennsylvania" TargetMode="External"/><Relationship Id="rId3" Type="http://schemas.openxmlformats.org/officeDocument/2006/relationships/hyperlink" Target="https://en.wikipedia.org/wiki/Armstrong_County,_Pennsylvania" TargetMode="External"/><Relationship Id="rId12" Type="http://schemas.openxmlformats.org/officeDocument/2006/relationships/hyperlink" Target="https://en.wikipedia.org/wiki/Cameron_County,_Pennsylvania" TargetMode="External"/><Relationship Id="rId17" Type="http://schemas.openxmlformats.org/officeDocument/2006/relationships/hyperlink" Target="https://en.wikipedia.org/wiki/Clearfield_County,_Pennsylvania" TargetMode="External"/><Relationship Id="rId25" Type="http://schemas.openxmlformats.org/officeDocument/2006/relationships/hyperlink" Target="https://en.wikipedia.org/wiki/Erie_County,_Pennsylvania" TargetMode="External"/><Relationship Id="rId33" Type="http://schemas.openxmlformats.org/officeDocument/2006/relationships/hyperlink" Target="https://en.wikipedia.org/wiki/Jefferson_County,_Pennsylvania" TargetMode="External"/><Relationship Id="rId38" Type="http://schemas.openxmlformats.org/officeDocument/2006/relationships/hyperlink" Target="https://en.wikipedia.org/wiki/Lebanon_County,_Pennsylvania" TargetMode="External"/><Relationship Id="rId46" Type="http://schemas.openxmlformats.org/officeDocument/2006/relationships/hyperlink" Target="https://en.wikipedia.org/wiki/Montgomery_County,_Pennsylvania" TargetMode="External"/><Relationship Id="rId59" Type="http://schemas.openxmlformats.org/officeDocument/2006/relationships/hyperlink" Target="https://en.wikipedia.org/wiki/Tioga_County,_Pennsylvania" TargetMode="External"/><Relationship Id="rId67" Type="http://schemas.openxmlformats.org/officeDocument/2006/relationships/hyperlink" Target="https://en.wikipedia.org/wiki/York_County,_Pennsylvania" TargetMode="External"/><Relationship Id="rId20" Type="http://schemas.openxmlformats.org/officeDocument/2006/relationships/hyperlink" Target="https://en.wikipedia.org/wiki/Crawford_County,_Pennsylvania" TargetMode="External"/><Relationship Id="rId41" Type="http://schemas.openxmlformats.org/officeDocument/2006/relationships/hyperlink" Target="https://en.wikipedia.org/wiki/Lycoming_County,_Pennsylvania" TargetMode="External"/><Relationship Id="rId54" Type="http://schemas.openxmlformats.org/officeDocument/2006/relationships/hyperlink" Target="https://en.wikipedia.org/wiki/Schuylkill_County,_Pennsylvania" TargetMode="External"/><Relationship Id="rId62" Type="http://schemas.openxmlformats.org/officeDocument/2006/relationships/hyperlink" Target="https://en.wikipedia.org/wiki/Warren_County,_Pennsylvania" TargetMode="External"/><Relationship Id="rId1" Type="http://schemas.openxmlformats.org/officeDocument/2006/relationships/hyperlink" Target="https://en.wikipedia.org/wiki/Adams_County,_Pennsylvania" TargetMode="External"/><Relationship Id="rId6" Type="http://schemas.openxmlformats.org/officeDocument/2006/relationships/hyperlink" Target="https://en.wikipedia.org/wiki/Berks_County,_Pennsylvania" TargetMode="External"/><Relationship Id="rId15" Type="http://schemas.openxmlformats.org/officeDocument/2006/relationships/hyperlink" Target="https://en.wikipedia.org/wiki/Chester_County,_Pennsylvania" TargetMode="External"/><Relationship Id="rId23" Type="http://schemas.openxmlformats.org/officeDocument/2006/relationships/hyperlink" Target="https://en.wikipedia.org/wiki/Delaware_County,_Pennsylvania" TargetMode="External"/><Relationship Id="rId28" Type="http://schemas.openxmlformats.org/officeDocument/2006/relationships/hyperlink" Target="https://en.wikipedia.org/wiki/Franklin_County,_Pennsylvania" TargetMode="External"/><Relationship Id="rId36" Type="http://schemas.openxmlformats.org/officeDocument/2006/relationships/hyperlink" Target="https://en.wikipedia.org/wiki/Lancaster_County,_Pennsylvania" TargetMode="External"/><Relationship Id="rId49" Type="http://schemas.openxmlformats.org/officeDocument/2006/relationships/hyperlink" Target="https://en.wikipedia.org/wiki/Northumberland_County,_Pennsylvania" TargetMode="External"/><Relationship Id="rId57" Type="http://schemas.openxmlformats.org/officeDocument/2006/relationships/hyperlink" Target="https://en.wikipedia.org/wiki/Sullivan_County,_Pennsylvania" TargetMode="External"/><Relationship Id="rId10" Type="http://schemas.openxmlformats.org/officeDocument/2006/relationships/hyperlink" Target="https://en.wikipedia.org/wiki/Butler_County,_Pennsylvania" TargetMode="External"/><Relationship Id="rId31" Type="http://schemas.openxmlformats.org/officeDocument/2006/relationships/hyperlink" Target="https://en.wikipedia.org/wiki/Huntingdon_County,_Pennsylvania" TargetMode="External"/><Relationship Id="rId44" Type="http://schemas.openxmlformats.org/officeDocument/2006/relationships/hyperlink" Target="https://en.wikipedia.org/wiki/Mifflin_County,_Pennsylvania" TargetMode="External"/><Relationship Id="rId52" Type="http://schemas.openxmlformats.org/officeDocument/2006/relationships/hyperlink" Target="https://en.wikipedia.org/wiki/Pike_County,_Pennsylvania" TargetMode="External"/><Relationship Id="rId60" Type="http://schemas.openxmlformats.org/officeDocument/2006/relationships/hyperlink" Target="https://en.wikipedia.org/wiki/Union_County,_Pennsylvania" TargetMode="External"/><Relationship Id="rId65" Type="http://schemas.openxmlformats.org/officeDocument/2006/relationships/hyperlink" Target="https://en.wikipedia.org/wiki/Westmoreland_County,_Pennsylvania" TargetMode="External"/><Relationship Id="rId4" Type="http://schemas.openxmlformats.org/officeDocument/2006/relationships/hyperlink" Target="https://en.wikipedia.org/wiki/Beaver_County,_Pennsylvania" TargetMode="External"/><Relationship Id="rId9" Type="http://schemas.openxmlformats.org/officeDocument/2006/relationships/hyperlink" Target="https://en.wikipedia.org/wiki/Bucks_County,_Pennsylvania" TargetMode="External"/><Relationship Id="rId13" Type="http://schemas.openxmlformats.org/officeDocument/2006/relationships/hyperlink" Target="https://en.wikipedia.org/wiki/Carbon_County,_Pennsylvania" TargetMode="External"/><Relationship Id="rId18" Type="http://schemas.openxmlformats.org/officeDocument/2006/relationships/hyperlink" Target="https://en.wikipedia.org/wiki/Clinton_County,_Pennsylvania" TargetMode="External"/><Relationship Id="rId39" Type="http://schemas.openxmlformats.org/officeDocument/2006/relationships/hyperlink" Target="https://en.wikipedia.org/wiki/Lehigh_County,_Pennsylva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C967-F24A-7643-B38D-FD209D5CC3C3}">
  <dimension ref="A1:N68"/>
  <sheetViews>
    <sheetView tabSelected="1" topLeftCell="C1" workbookViewId="0">
      <selection activeCell="F13" sqref="F13"/>
    </sheetView>
  </sheetViews>
  <sheetFormatPr baseColWidth="10" defaultRowHeight="17" x14ac:dyDescent="0.2"/>
  <cols>
    <col min="1" max="1" width="19.33203125" style="2" customWidth="1"/>
    <col min="2" max="2" width="22" style="2" customWidth="1"/>
    <col min="3" max="3" width="21.1640625" style="2" customWidth="1"/>
    <col min="4" max="4" width="22.5" style="2" customWidth="1"/>
    <col min="5" max="6" width="20.83203125" style="2" customWidth="1"/>
    <col min="7" max="7" width="10.83203125" style="7"/>
    <col min="8" max="8" width="10.83203125" style="2"/>
    <col min="9" max="9" width="17.33203125" style="2" customWidth="1"/>
    <col min="10" max="11" width="10.83203125" style="2"/>
    <col min="12" max="12" width="20.83203125" style="2" customWidth="1"/>
    <col min="13" max="16384" width="10.83203125" style="2"/>
  </cols>
  <sheetData>
    <row r="1" spans="1:14" s="3" customFormat="1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128</v>
      </c>
      <c r="F1" s="3" t="s">
        <v>130</v>
      </c>
      <c r="G1" s="10" t="s">
        <v>125</v>
      </c>
      <c r="H1" s="3" t="s">
        <v>126</v>
      </c>
      <c r="I1" s="3" t="s">
        <v>127</v>
      </c>
      <c r="J1" s="3" t="s">
        <v>129</v>
      </c>
      <c r="K1" s="3" t="s">
        <v>131</v>
      </c>
      <c r="L1" s="3" t="s">
        <v>133</v>
      </c>
      <c r="M1" s="3" t="s">
        <v>134</v>
      </c>
      <c r="N1" s="3" t="s">
        <v>132</v>
      </c>
    </row>
    <row r="2" spans="1:14" ht="18" x14ac:dyDescent="0.2">
      <c r="A2" s="2" t="s">
        <v>0</v>
      </c>
      <c r="B2" s="2">
        <v>34.68</v>
      </c>
      <c r="C2" s="2">
        <v>62.56</v>
      </c>
      <c r="D2" s="2">
        <v>-27.88</v>
      </c>
      <c r="E2" s="2">
        <v>0</v>
      </c>
      <c r="F2" s="2">
        <v>0</v>
      </c>
      <c r="G2" s="9">
        <v>32.129999999999995</v>
      </c>
      <c r="H2" s="2">
        <v>66.13</v>
      </c>
      <c r="I2" s="8">
        <v>-34</v>
      </c>
      <c r="J2" s="2">
        <v>0</v>
      </c>
      <c r="K2" s="2">
        <v>0</v>
      </c>
      <c r="L2" s="2">
        <f>(B2-G2)</f>
        <v>2.5500000000000043</v>
      </c>
      <c r="M2" s="2">
        <f>(C2-H2)</f>
        <v>-3.5699999999999932</v>
      </c>
      <c r="N2" s="2">
        <v>0</v>
      </c>
    </row>
    <row r="3" spans="1:14" ht="18" x14ac:dyDescent="0.2">
      <c r="A3" s="2" t="s">
        <v>1</v>
      </c>
      <c r="B3" s="2">
        <v>63.42</v>
      </c>
      <c r="C3" s="2">
        <v>34.97</v>
      </c>
      <c r="D3" s="2">
        <v>28.45</v>
      </c>
      <c r="E3" s="2">
        <v>0</v>
      </c>
      <c r="F3" s="2">
        <v>1</v>
      </c>
      <c r="G3" s="9">
        <v>59.430000000000007</v>
      </c>
      <c r="H3" s="2">
        <v>39.03</v>
      </c>
      <c r="I3" s="8">
        <v>20.400000000000006</v>
      </c>
      <c r="J3" s="2">
        <v>0</v>
      </c>
      <c r="K3" s="2">
        <v>1</v>
      </c>
      <c r="L3" s="2">
        <f t="shared" ref="L3:L66" si="0">(B3-G3)</f>
        <v>3.9899999999999949</v>
      </c>
      <c r="M3" s="2">
        <f t="shared" ref="M3:M66" si="1">(C3-H3)</f>
        <v>-4.0600000000000023</v>
      </c>
      <c r="N3" s="2">
        <v>0</v>
      </c>
    </row>
    <row r="4" spans="1:14" ht="18" x14ac:dyDescent="0.2">
      <c r="A4" s="2" t="s">
        <v>2</v>
      </c>
      <c r="B4" s="2">
        <v>28.38</v>
      </c>
      <c r="C4" s="2">
        <v>68.89</v>
      </c>
      <c r="D4" s="2">
        <v>-40.51</v>
      </c>
      <c r="E4" s="2">
        <v>0</v>
      </c>
      <c r="F4" s="2">
        <v>0</v>
      </c>
      <c r="G4" s="9">
        <v>23.22</v>
      </c>
      <c r="H4" s="2">
        <v>75.47</v>
      </c>
      <c r="I4" s="8">
        <v>-52.25</v>
      </c>
      <c r="J4" s="2">
        <v>0</v>
      </c>
      <c r="K4" s="2">
        <v>0</v>
      </c>
      <c r="L4" s="2">
        <f t="shared" si="0"/>
        <v>5.16</v>
      </c>
      <c r="M4" s="2">
        <f t="shared" si="1"/>
        <v>-6.5799999999999983</v>
      </c>
      <c r="N4" s="2">
        <v>0</v>
      </c>
    </row>
    <row r="5" spans="1:14" ht="18" x14ac:dyDescent="0.2">
      <c r="A5" s="2" t="s">
        <v>3</v>
      </c>
      <c r="B5" s="2">
        <v>44.51</v>
      </c>
      <c r="C5" s="2">
        <v>52.79</v>
      </c>
      <c r="D5" s="2">
        <v>-8.2799999999999994</v>
      </c>
      <c r="E5" s="2">
        <v>0</v>
      </c>
      <c r="F5" s="2">
        <v>0</v>
      </c>
      <c r="G5" s="9">
        <v>40.380000000000003</v>
      </c>
      <c r="H5" s="2">
        <v>58.01</v>
      </c>
      <c r="I5" s="8">
        <v>-17.629999999999995</v>
      </c>
      <c r="J5" s="2">
        <v>0</v>
      </c>
      <c r="K5" s="2">
        <v>0</v>
      </c>
      <c r="L5" s="2">
        <f t="shared" si="0"/>
        <v>4.1299999999999955</v>
      </c>
      <c r="M5" s="2">
        <f t="shared" si="1"/>
        <v>-5.2199999999999989</v>
      </c>
      <c r="N5" s="2">
        <v>0</v>
      </c>
    </row>
    <row r="6" spans="1:14" ht="18" x14ac:dyDescent="0.2">
      <c r="A6" s="2" t="s">
        <v>4</v>
      </c>
      <c r="B6" s="2">
        <v>17.07</v>
      </c>
      <c r="C6" s="2">
        <v>80.72</v>
      </c>
      <c r="D6" s="2">
        <v>-63.66</v>
      </c>
      <c r="E6" s="2">
        <v>0</v>
      </c>
      <c r="F6" s="2">
        <v>0</v>
      </c>
      <c r="G6" s="9">
        <v>15.82</v>
      </c>
      <c r="H6" s="2">
        <v>83.39</v>
      </c>
      <c r="I6" s="8">
        <v>-67.569999999999993</v>
      </c>
      <c r="J6" s="2">
        <v>0</v>
      </c>
      <c r="K6" s="2">
        <v>0</v>
      </c>
      <c r="L6" s="2">
        <f t="shared" si="0"/>
        <v>1.25</v>
      </c>
      <c r="M6" s="2">
        <f t="shared" si="1"/>
        <v>-2.6700000000000017</v>
      </c>
      <c r="N6" s="2">
        <v>0</v>
      </c>
    </row>
    <row r="7" spans="1:14" ht="18" x14ac:dyDescent="0.2">
      <c r="A7" s="2" t="s">
        <v>5</v>
      </c>
      <c r="B7" s="2">
        <v>46.08</v>
      </c>
      <c r="C7" s="2">
        <v>50.39</v>
      </c>
      <c r="D7" s="2">
        <v>-4.3099999999999996</v>
      </c>
      <c r="E7" s="2">
        <v>0</v>
      </c>
      <c r="F7" s="2">
        <v>0</v>
      </c>
      <c r="G7" s="9">
        <v>45.08</v>
      </c>
      <c r="H7" s="2">
        <v>53.22</v>
      </c>
      <c r="I7" s="8">
        <v>-8.14</v>
      </c>
      <c r="J7" s="2">
        <v>0</v>
      </c>
      <c r="K7" s="2">
        <v>0</v>
      </c>
      <c r="L7" s="2">
        <f t="shared" si="0"/>
        <v>1</v>
      </c>
      <c r="M7" s="2">
        <f t="shared" si="1"/>
        <v>-2.8299999999999983</v>
      </c>
      <c r="N7" s="2">
        <v>0</v>
      </c>
    </row>
    <row r="8" spans="1:14" ht="18" x14ac:dyDescent="0.2">
      <c r="A8" s="2" t="s">
        <v>6</v>
      </c>
      <c r="B8" s="2">
        <v>29.4</v>
      </c>
      <c r="C8" s="2">
        <v>68.13</v>
      </c>
      <c r="D8" s="2">
        <v>-38.729999999999997</v>
      </c>
      <c r="E8" s="2">
        <v>0</v>
      </c>
      <c r="F8" s="2">
        <v>0</v>
      </c>
      <c r="G8" s="9">
        <v>27.67</v>
      </c>
      <c r="H8" s="2">
        <v>71.069999999999993</v>
      </c>
      <c r="I8" s="8">
        <v>-43.399999999999991</v>
      </c>
      <c r="J8" s="2">
        <v>0</v>
      </c>
      <c r="K8" s="2">
        <v>0</v>
      </c>
      <c r="L8" s="2">
        <f t="shared" si="0"/>
        <v>1.7299999999999969</v>
      </c>
      <c r="M8" s="2">
        <f t="shared" si="1"/>
        <v>-2.9399999999999977</v>
      </c>
      <c r="N8" s="2">
        <v>0</v>
      </c>
    </row>
    <row r="9" spans="1:14" ht="18" x14ac:dyDescent="0.2">
      <c r="A9" s="2" t="s">
        <v>7</v>
      </c>
      <c r="B9" s="2">
        <v>28.24</v>
      </c>
      <c r="C9" s="2">
        <v>68.28</v>
      </c>
      <c r="D9" s="2">
        <v>-40.04</v>
      </c>
      <c r="E9" s="2">
        <v>0</v>
      </c>
      <c r="F9" s="2">
        <v>0</v>
      </c>
      <c r="G9" s="9">
        <v>26.61</v>
      </c>
      <c r="H9" s="2">
        <v>71.45</v>
      </c>
      <c r="I9" s="8">
        <v>-44.84</v>
      </c>
      <c r="J9" s="2">
        <v>0</v>
      </c>
      <c r="K9" s="2">
        <v>0</v>
      </c>
      <c r="L9" s="2">
        <f t="shared" si="0"/>
        <v>1.629999999999999</v>
      </c>
      <c r="M9" s="2">
        <f t="shared" si="1"/>
        <v>-3.1700000000000017</v>
      </c>
      <c r="N9" s="2">
        <v>0</v>
      </c>
    </row>
    <row r="10" spans="1:14" ht="18" x14ac:dyDescent="0.2">
      <c r="A10" s="2" t="s">
        <v>8</v>
      </c>
      <c r="B10" s="2">
        <v>52.35</v>
      </c>
      <c r="C10" s="2">
        <v>44.97</v>
      </c>
      <c r="D10" s="2">
        <v>7.38</v>
      </c>
      <c r="E10" s="2">
        <v>1</v>
      </c>
      <c r="F10" s="2">
        <v>1</v>
      </c>
      <c r="G10" s="9">
        <v>51.53</v>
      </c>
      <c r="H10" s="2">
        <v>47.160000000000004</v>
      </c>
      <c r="I10" s="8">
        <v>4.3699999999999974</v>
      </c>
      <c r="J10" s="2">
        <v>0</v>
      </c>
      <c r="K10" s="2">
        <v>1</v>
      </c>
      <c r="L10" s="2">
        <f t="shared" si="0"/>
        <v>0.82000000000000028</v>
      </c>
      <c r="M10" s="2">
        <f t="shared" si="1"/>
        <v>-2.1900000000000048</v>
      </c>
      <c r="N10" s="2">
        <v>0</v>
      </c>
    </row>
    <row r="11" spans="1:14" ht="18" x14ac:dyDescent="0.2">
      <c r="A11" s="2" t="s">
        <v>9</v>
      </c>
      <c r="B11" s="2">
        <v>36.340000000000003</v>
      </c>
      <c r="C11" s="2">
        <v>61.25</v>
      </c>
      <c r="D11" s="2">
        <v>-24.91</v>
      </c>
      <c r="E11" s="2">
        <v>0</v>
      </c>
      <c r="F11" s="2">
        <v>0</v>
      </c>
      <c r="G11" s="9">
        <v>33</v>
      </c>
      <c r="H11" s="2">
        <v>65.42</v>
      </c>
      <c r="I11" s="8">
        <v>-32.42</v>
      </c>
      <c r="J11" s="2">
        <v>0</v>
      </c>
      <c r="K11" s="2">
        <v>0</v>
      </c>
      <c r="L11" s="2">
        <f t="shared" si="0"/>
        <v>3.3400000000000034</v>
      </c>
      <c r="M11" s="2">
        <f t="shared" si="1"/>
        <v>-4.1700000000000017</v>
      </c>
      <c r="N11" s="2">
        <v>0</v>
      </c>
    </row>
    <row r="12" spans="1:14" ht="18" x14ac:dyDescent="0.2">
      <c r="A12" s="2" t="s">
        <v>10</v>
      </c>
      <c r="B12" s="2">
        <v>33.450000000000003</v>
      </c>
      <c r="C12" s="2">
        <v>63.62</v>
      </c>
      <c r="D12" s="2">
        <v>-30.17</v>
      </c>
      <c r="E12" s="2">
        <v>0</v>
      </c>
      <c r="F12" s="2">
        <v>0</v>
      </c>
      <c r="G12" s="9">
        <v>30.709999999999997</v>
      </c>
      <c r="H12" s="2">
        <v>67.959999999999994</v>
      </c>
      <c r="I12" s="8">
        <v>-37.25</v>
      </c>
      <c r="J12" s="2">
        <v>0</v>
      </c>
      <c r="K12" s="2">
        <v>0</v>
      </c>
      <c r="L12" s="2">
        <f t="shared" si="0"/>
        <v>2.7400000000000055</v>
      </c>
      <c r="M12" s="2">
        <f t="shared" si="1"/>
        <v>-4.3399999999999963</v>
      </c>
      <c r="N12" s="2">
        <v>0</v>
      </c>
    </row>
    <row r="13" spans="1:14" ht="18" x14ac:dyDescent="0.2">
      <c r="A13" s="2" t="s">
        <v>11</v>
      </c>
      <c r="B13" s="2">
        <v>29</v>
      </c>
      <c r="C13" s="2">
        <v>66.12</v>
      </c>
      <c r="D13" s="2">
        <v>-37.119999999999997</v>
      </c>
      <c r="E13" s="2">
        <v>0</v>
      </c>
      <c r="F13" s="2">
        <v>0</v>
      </c>
      <c r="G13" s="9">
        <v>25.979999999999997</v>
      </c>
      <c r="H13" s="2">
        <v>72.58</v>
      </c>
      <c r="I13" s="8">
        <v>-46.6</v>
      </c>
      <c r="J13" s="2">
        <v>0</v>
      </c>
      <c r="K13" s="2">
        <v>0</v>
      </c>
      <c r="L13" s="2">
        <f t="shared" si="0"/>
        <v>3.0200000000000031</v>
      </c>
      <c r="M13" s="2">
        <f t="shared" si="1"/>
        <v>-6.4599999999999937</v>
      </c>
      <c r="N13" s="2">
        <v>0</v>
      </c>
    </row>
    <row r="14" spans="1:14" ht="18" x14ac:dyDescent="0.2">
      <c r="A14" s="2" t="s">
        <v>12</v>
      </c>
      <c r="B14" s="2">
        <v>36.909999999999997</v>
      </c>
      <c r="C14" s="2">
        <v>59.69</v>
      </c>
      <c r="D14" s="2">
        <v>-22.78</v>
      </c>
      <c r="E14" s="2">
        <v>0</v>
      </c>
      <c r="F14" s="2">
        <v>0</v>
      </c>
      <c r="G14" s="9">
        <v>33.28</v>
      </c>
      <c r="H14" s="2">
        <v>65.259999999999991</v>
      </c>
      <c r="I14" s="8">
        <v>-31.97999999999999</v>
      </c>
      <c r="J14" s="2">
        <v>0</v>
      </c>
      <c r="K14" s="2">
        <v>0</v>
      </c>
      <c r="L14" s="2">
        <f t="shared" si="0"/>
        <v>3.6299999999999955</v>
      </c>
      <c r="M14" s="2">
        <f t="shared" si="1"/>
        <v>-5.5699999999999932</v>
      </c>
      <c r="N14" s="2">
        <v>0</v>
      </c>
    </row>
    <row r="15" spans="1:14" ht="18" x14ac:dyDescent="0.2">
      <c r="A15" s="2" t="s">
        <v>13</v>
      </c>
      <c r="B15" s="2">
        <v>52.52</v>
      </c>
      <c r="C15" s="2">
        <v>44.96</v>
      </c>
      <c r="D15" s="2">
        <v>7.56</v>
      </c>
      <c r="E15" s="2">
        <v>1</v>
      </c>
      <c r="F15" s="2">
        <v>1</v>
      </c>
      <c r="G15" s="9">
        <v>51.42</v>
      </c>
      <c r="H15" s="2">
        <v>46.7</v>
      </c>
      <c r="I15" s="8">
        <v>4.7199999999999989</v>
      </c>
      <c r="J15" s="2">
        <v>0</v>
      </c>
      <c r="K15" s="2">
        <v>1</v>
      </c>
      <c r="L15" s="2">
        <f t="shared" si="0"/>
        <v>1.1000000000000014</v>
      </c>
      <c r="M15" s="2">
        <f t="shared" si="1"/>
        <v>-1.740000000000002</v>
      </c>
      <c r="N15" s="2">
        <v>0</v>
      </c>
    </row>
    <row r="16" spans="1:14" ht="18" x14ac:dyDescent="0.2">
      <c r="A16" s="2" t="s">
        <v>14</v>
      </c>
      <c r="B16" s="2">
        <v>57.2</v>
      </c>
      <c r="C16" s="2">
        <v>40.32</v>
      </c>
      <c r="D16" s="2">
        <v>16.88</v>
      </c>
      <c r="E16" s="2">
        <v>1</v>
      </c>
      <c r="F16" s="2">
        <v>1</v>
      </c>
      <c r="G16" s="9">
        <v>57.76</v>
      </c>
      <c r="H16" s="2">
        <v>40.72</v>
      </c>
      <c r="I16" s="8">
        <v>17.04</v>
      </c>
      <c r="J16" s="2">
        <v>0</v>
      </c>
      <c r="K16" s="2">
        <v>1</v>
      </c>
      <c r="L16" s="2">
        <f t="shared" si="0"/>
        <v>-0.55999999999999517</v>
      </c>
      <c r="M16" s="2">
        <f t="shared" si="1"/>
        <v>-0.39999999999999858</v>
      </c>
      <c r="N16" s="2">
        <v>0</v>
      </c>
    </row>
    <row r="17" spans="1:14" ht="18" x14ac:dyDescent="0.2">
      <c r="A17" s="2" t="s">
        <v>15</v>
      </c>
      <c r="B17" s="2">
        <v>28.15</v>
      </c>
      <c r="C17" s="2">
        <v>69.09</v>
      </c>
      <c r="D17" s="2">
        <v>-40.94</v>
      </c>
      <c r="E17" s="2">
        <v>0</v>
      </c>
      <c r="F17" s="2">
        <v>0</v>
      </c>
      <c r="G17" s="9">
        <v>23.96</v>
      </c>
      <c r="H17" s="2">
        <v>74.67</v>
      </c>
      <c r="I17" s="8">
        <v>-50.71</v>
      </c>
      <c r="J17" s="2">
        <v>0</v>
      </c>
      <c r="K17" s="2">
        <v>0</v>
      </c>
      <c r="L17" s="2">
        <f t="shared" si="0"/>
        <v>4.1899999999999977</v>
      </c>
      <c r="M17" s="2">
        <f t="shared" si="1"/>
        <v>-5.5799999999999983</v>
      </c>
      <c r="N17" s="2">
        <v>0</v>
      </c>
    </row>
    <row r="18" spans="1:14" ht="18" x14ac:dyDescent="0.2">
      <c r="A18" s="2" t="s">
        <v>16</v>
      </c>
      <c r="B18" s="2">
        <v>27.18</v>
      </c>
      <c r="C18" s="2">
        <v>69.900000000000006</v>
      </c>
      <c r="D18" s="2">
        <v>-42.72</v>
      </c>
      <c r="E18" s="2">
        <v>0</v>
      </c>
      <c r="F18" s="2">
        <v>0</v>
      </c>
      <c r="G18" s="9">
        <v>24.490000000000002</v>
      </c>
      <c r="H18" s="2">
        <v>73.94</v>
      </c>
      <c r="I18" s="8">
        <v>-49.449999999999996</v>
      </c>
      <c r="J18" s="2">
        <v>0</v>
      </c>
      <c r="K18" s="2">
        <v>0</v>
      </c>
      <c r="L18" s="2">
        <f t="shared" si="0"/>
        <v>2.6899999999999977</v>
      </c>
      <c r="M18" s="2">
        <f t="shared" si="1"/>
        <v>-4.039999999999992</v>
      </c>
      <c r="N18" s="2">
        <v>0</v>
      </c>
    </row>
    <row r="19" spans="1:14" ht="18" x14ac:dyDescent="0.2">
      <c r="A19" s="2" t="s">
        <v>17</v>
      </c>
      <c r="B19" s="2">
        <v>33.89</v>
      </c>
      <c r="C19" s="2">
        <v>62.72</v>
      </c>
      <c r="D19" s="2">
        <v>-28.83</v>
      </c>
      <c r="E19" s="2">
        <v>0</v>
      </c>
      <c r="F19" s="2">
        <v>0</v>
      </c>
      <c r="G19" s="9">
        <v>31.15</v>
      </c>
      <c r="H19" s="2">
        <v>67.39</v>
      </c>
      <c r="I19" s="8">
        <v>-36.24</v>
      </c>
      <c r="J19" s="2">
        <v>0</v>
      </c>
      <c r="K19" s="2">
        <v>0</v>
      </c>
      <c r="L19" s="2">
        <f t="shared" si="0"/>
        <v>2.740000000000002</v>
      </c>
      <c r="M19" s="2">
        <f t="shared" si="1"/>
        <v>-4.6700000000000017</v>
      </c>
      <c r="N19" s="2">
        <v>0</v>
      </c>
    </row>
    <row r="20" spans="1:14" ht="18" x14ac:dyDescent="0.2">
      <c r="A20" s="2" t="s">
        <v>18</v>
      </c>
      <c r="B20" s="2">
        <v>36.46</v>
      </c>
      <c r="C20" s="2">
        <v>59.93</v>
      </c>
      <c r="D20" s="2">
        <v>-23.47</v>
      </c>
      <c r="E20" s="2">
        <v>0</v>
      </c>
      <c r="F20" s="2">
        <v>0</v>
      </c>
      <c r="G20" s="9">
        <v>33.67</v>
      </c>
      <c r="H20" s="2">
        <v>64.25</v>
      </c>
      <c r="I20" s="8">
        <v>-30.58</v>
      </c>
      <c r="J20" s="2">
        <v>0</v>
      </c>
      <c r="K20" s="2">
        <v>0</v>
      </c>
      <c r="L20" s="2">
        <f t="shared" si="0"/>
        <v>2.7899999999999991</v>
      </c>
      <c r="M20" s="2">
        <f t="shared" si="1"/>
        <v>-4.32</v>
      </c>
      <c r="N20" s="2">
        <v>0</v>
      </c>
    </row>
    <row r="21" spans="1:14" ht="18" x14ac:dyDescent="0.2">
      <c r="A21" s="2" t="s">
        <v>19</v>
      </c>
      <c r="B21" s="2">
        <v>33.549999999999997</v>
      </c>
      <c r="C21" s="2">
        <v>63.55</v>
      </c>
      <c r="D21" s="2">
        <v>-30</v>
      </c>
      <c r="E21" s="2">
        <v>0</v>
      </c>
      <c r="F21" s="2">
        <v>0</v>
      </c>
      <c r="G21" s="9">
        <v>30.69</v>
      </c>
      <c r="H21" s="2">
        <v>67.820000000000007</v>
      </c>
      <c r="I21" s="8">
        <v>-37.13000000000001</v>
      </c>
      <c r="J21" s="2">
        <v>0</v>
      </c>
      <c r="K21" s="2">
        <v>0</v>
      </c>
      <c r="L21" s="2">
        <f t="shared" si="0"/>
        <v>2.8599999999999959</v>
      </c>
      <c r="M21" s="2">
        <f t="shared" si="1"/>
        <v>-4.2700000000000102</v>
      </c>
      <c r="N21" s="2">
        <v>0</v>
      </c>
    </row>
    <row r="22" spans="1:14" ht="18" x14ac:dyDescent="0.2">
      <c r="A22" s="2" t="s">
        <v>20</v>
      </c>
      <c r="B22" s="2">
        <v>45.96</v>
      </c>
      <c r="C22" s="2">
        <v>51.47</v>
      </c>
      <c r="D22" s="2">
        <v>-5.51</v>
      </c>
      <c r="E22" s="2">
        <v>0</v>
      </c>
      <c r="F22" s="2">
        <v>0</v>
      </c>
      <c r="G22" s="9">
        <v>43.78</v>
      </c>
      <c r="H22" s="2">
        <v>54.300000000000004</v>
      </c>
      <c r="I22" s="8">
        <v>-10.520000000000003</v>
      </c>
      <c r="J22" s="2">
        <v>0</v>
      </c>
      <c r="K22" s="2">
        <v>0</v>
      </c>
      <c r="L22" s="2">
        <f t="shared" si="0"/>
        <v>2.1799999999999997</v>
      </c>
      <c r="M22" s="2">
        <f t="shared" si="1"/>
        <v>-2.8300000000000054</v>
      </c>
      <c r="N22" s="2">
        <v>0</v>
      </c>
    </row>
    <row r="23" spans="1:14" ht="18" x14ac:dyDescent="0.2">
      <c r="A23" s="2" t="s">
        <v>21</v>
      </c>
      <c r="B23" s="2">
        <v>53.82</v>
      </c>
      <c r="C23" s="2">
        <v>43.81</v>
      </c>
      <c r="D23" s="2">
        <v>10.01</v>
      </c>
      <c r="E23" s="2">
        <v>1</v>
      </c>
      <c r="F23" s="2">
        <v>1</v>
      </c>
      <c r="G23" s="9">
        <v>53.400000000000006</v>
      </c>
      <c r="H23" s="2">
        <v>44.9</v>
      </c>
      <c r="I23" s="8">
        <v>8.5000000000000071</v>
      </c>
      <c r="J23" s="2">
        <v>0</v>
      </c>
      <c r="K23" s="2">
        <v>1</v>
      </c>
      <c r="L23" s="2">
        <f t="shared" si="0"/>
        <v>0.4199999999999946</v>
      </c>
      <c r="M23" s="2">
        <f t="shared" si="1"/>
        <v>-1.0899999999999963</v>
      </c>
      <c r="N23" s="2">
        <v>0</v>
      </c>
    </row>
    <row r="24" spans="1:14" ht="18" x14ac:dyDescent="0.2">
      <c r="A24" s="2" t="s">
        <v>22</v>
      </c>
      <c r="B24" s="2">
        <v>62.87</v>
      </c>
      <c r="C24" s="2">
        <v>34.840000000000003</v>
      </c>
      <c r="D24" s="2">
        <v>28.04</v>
      </c>
      <c r="E24" s="2">
        <v>0</v>
      </c>
      <c r="F24" s="2">
        <v>1</v>
      </c>
      <c r="G24" s="9">
        <v>62.749999999999993</v>
      </c>
      <c r="H24" s="2">
        <v>36.020000000000003</v>
      </c>
      <c r="I24" s="8">
        <v>26.72999999999999</v>
      </c>
      <c r="J24" s="2">
        <v>0</v>
      </c>
      <c r="K24" s="2">
        <v>1</v>
      </c>
      <c r="L24" s="2">
        <f t="shared" si="0"/>
        <v>0.12000000000000455</v>
      </c>
      <c r="M24" s="2">
        <f t="shared" si="1"/>
        <v>-1.1799999999999997</v>
      </c>
      <c r="N24" s="2">
        <v>0</v>
      </c>
    </row>
    <row r="25" spans="1:14" ht="18" x14ac:dyDescent="0.2">
      <c r="A25" s="2" t="s">
        <v>23</v>
      </c>
      <c r="B25" s="2">
        <v>29.86</v>
      </c>
      <c r="C25" s="2">
        <v>67.02</v>
      </c>
      <c r="D25" s="2">
        <v>-37.17</v>
      </c>
      <c r="E25" s="2">
        <v>0</v>
      </c>
      <c r="F25" s="2">
        <v>0</v>
      </c>
      <c r="G25" s="9">
        <v>26.68</v>
      </c>
      <c r="H25" s="2">
        <v>71.64</v>
      </c>
      <c r="I25" s="8">
        <v>-44.96</v>
      </c>
      <c r="J25" s="2">
        <v>0</v>
      </c>
      <c r="K25" s="2">
        <v>0</v>
      </c>
      <c r="L25" s="2">
        <f t="shared" si="0"/>
        <v>3.1799999999999997</v>
      </c>
      <c r="M25" s="2">
        <f t="shared" si="1"/>
        <v>-4.6200000000000045</v>
      </c>
      <c r="N25" s="2">
        <v>0</v>
      </c>
    </row>
    <row r="26" spans="1:14" ht="18" x14ac:dyDescent="0.2">
      <c r="A26" s="2" t="s">
        <v>24</v>
      </c>
      <c r="B26" s="2">
        <v>53.35</v>
      </c>
      <c r="C26" s="2">
        <v>43.98</v>
      </c>
      <c r="D26" s="2">
        <v>9.36</v>
      </c>
      <c r="E26" s="2">
        <v>1</v>
      </c>
      <c r="F26" s="2">
        <v>1</v>
      </c>
      <c r="G26" s="9">
        <v>49.66</v>
      </c>
      <c r="H26" s="2">
        <v>48.63</v>
      </c>
      <c r="I26" s="8">
        <v>1.029999999999994</v>
      </c>
      <c r="J26" s="2">
        <v>1</v>
      </c>
      <c r="K26" s="2">
        <v>1</v>
      </c>
      <c r="L26" s="2">
        <f t="shared" si="0"/>
        <v>3.6900000000000048</v>
      </c>
      <c r="M26" s="2">
        <f t="shared" si="1"/>
        <v>-4.6500000000000057</v>
      </c>
      <c r="N26" s="2">
        <v>0</v>
      </c>
    </row>
    <row r="27" spans="1:14" ht="18" x14ac:dyDescent="0.2">
      <c r="A27" s="2" t="s">
        <v>25</v>
      </c>
      <c r="B27" s="2">
        <v>37.869999999999997</v>
      </c>
      <c r="C27" s="2">
        <v>60.3</v>
      </c>
      <c r="D27" s="2">
        <v>-22.43</v>
      </c>
      <c r="E27" s="2">
        <v>0</v>
      </c>
      <c r="F27" s="2">
        <v>0</v>
      </c>
      <c r="G27" s="9">
        <v>32.869999999999997</v>
      </c>
      <c r="H27" s="2">
        <v>66.239999999999995</v>
      </c>
      <c r="I27" s="8">
        <v>-33.369999999999997</v>
      </c>
      <c r="J27" s="2">
        <v>0</v>
      </c>
      <c r="K27" s="2">
        <v>0</v>
      </c>
      <c r="L27" s="2">
        <f t="shared" si="0"/>
        <v>5</v>
      </c>
      <c r="M27" s="2">
        <f t="shared" si="1"/>
        <v>-5.9399999999999977</v>
      </c>
      <c r="N27" s="2">
        <v>0</v>
      </c>
    </row>
    <row r="28" spans="1:14" ht="18" x14ac:dyDescent="0.2">
      <c r="A28" s="2" t="s">
        <v>26</v>
      </c>
      <c r="B28" s="2">
        <v>31.81</v>
      </c>
      <c r="C28" s="2">
        <v>65.72</v>
      </c>
      <c r="D28" s="2">
        <v>-33.909999999999997</v>
      </c>
      <c r="E28" s="2">
        <v>0</v>
      </c>
      <c r="F28" s="2">
        <v>0</v>
      </c>
      <c r="G28" s="9">
        <v>27.43</v>
      </c>
      <c r="H28" s="2">
        <v>70.91</v>
      </c>
      <c r="I28" s="8">
        <v>-43.48</v>
      </c>
      <c r="J28" s="2">
        <v>0</v>
      </c>
      <c r="K28" s="2">
        <v>0</v>
      </c>
      <c r="L28" s="2">
        <f t="shared" si="0"/>
        <v>4.379999999999999</v>
      </c>
      <c r="M28" s="2">
        <f t="shared" si="1"/>
        <v>-5.1899999999999977</v>
      </c>
      <c r="N28" s="2">
        <v>0</v>
      </c>
    </row>
    <row r="29" spans="1:14" ht="18" x14ac:dyDescent="0.2">
      <c r="A29" s="2" t="s">
        <v>27</v>
      </c>
      <c r="B29" s="2">
        <v>28.7</v>
      </c>
      <c r="C29" s="2">
        <v>68.72</v>
      </c>
      <c r="D29" s="2">
        <v>-40.020000000000003</v>
      </c>
      <c r="E29" s="2">
        <v>0</v>
      </c>
      <c r="F29" s="2">
        <v>0</v>
      </c>
      <c r="G29" s="9">
        <v>27.67</v>
      </c>
      <c r="H29" s="2">
        <v>70.650000000000006</v>
      </c>
      <c r="I29" s="8">
        <v>-42.980000000000004</v>
      </c>
      <c r="J29" s="2">
        <v>0</v>
      </c>
      <c r="K29" s="2">
        <v>0</v>
      </c>
      <c r="L29" s="2">
        <f t="shared" si="0"/>
        <v>1.0299999999999976</v>
      </c>
      <c r="M29" s="2">
        <f t="shared" si="1"/>
        <v>-1.9300000000000068</v>
      </c>
      <c r="N29" s="2">
        <v>0</v>
      </c>
    </row>
    <row r="30" spans="1:14" ht="18" x14ac:dyDescent="0.2">
      <c r="A30" s="2" t="s">
        <v>28</v>
      </c>
      <c r="B30" s="2">
        <v>15.26</v>
      </c>
      <c r="C30" s="2">
        <v>82.79</v>
      </c>
      <c r="D30" s="2">
        <v>-67.53</v>
      </c>
      <c r="E30" s="2">
        <v>0</v>
      </c>
      <c r="F30" s="2">
        <v>0</v>
      </c>
      <c r="G30" s="9">
        <v>13.58</v>
      </c>
      <c r="H30" s="2">
        <v>85.41</v>
      </c>
      <c r="I30" s="8">
        <v>-71.83</v>
      </c>
      <c r="J30" s="2">
        <v>0</v>
      </c>
      <c r="K30" s="2">
        <v>0</v>
      </c>
      <c r="L30" s="2">
        <f t="shared" si="0"/>
        <v>1.6799999999999997</v>
      </c>
      <c r="M30" s="2">
        <f t="shared" si="1"/>
        <v>-2.6199999999999903</v>
      </c>
      <c r="N30" s="2">
        <v>0</v>
      </c>
    </row>
    <row r="31" spans="1:14" ht="18" x14ac:dyDescent="0.2">
      <c r="A31" s="2" t="s">
        <v>29</v>
      </c>
      <c r="B31" s="2">
        <v>33.57</v>
      </c>
      <c r="C31" s="2">
        <v>63.77</v>
      </c>
      <c r="D31" s="2">
        <v>-30.2</v>
      </c>
      <c r="E31" s="2">
        <v>0</v>
      </c>
      <c r="F31" s="2">
        <v>0</v>
      </c>
      <c r="G31" s="9">
        <v>27.750000000000004</v>
      </c>
      <c r="H31" s="2">
        <v>71.08</v>
      </c>
      <c r="I31" s="8">
        <v>-43.33</v>
      </c>
      <c r="J31" s="2">
        <v>0</v>
      </c>
      <c r="K31" s="2">
        <v>0</v>
      </c>
      <c r="L31" s="2">
        <f t="shared" si="0"/>
        <v>5.8199999999999967</v>
      </c>
      <c r="M31" s="2">
        <f t="shared" si="1"/>
        <v>-7.3099999999999952</v>
      </c>
      <c r="N31" s="2">
        <v>0</v>
      </c>
    </row>
    <row r="32" spans="1:14" ht="18" x14ac:dyDescent="0.2">
      <c r="A32" s="2" t="s">
        <v>30</v>
      </c>
      <c r="B32" s="2">
        <v>25.54</v>
      </c>
      <c r="C32" s="2">
        <v>71.37</v>
      </c>
      <c r="D32" s="2">
        <v>-45.83</v>
      </c>
      <c r="E32" s="2">
        <v>0</v>
      </c>
      <c r="F32" s="2">
        <v>0</v>
      </c>
      <c r="G32" s="9">
        <v>23.84</v>
      </c>
      <c r="H32" s="2">
        <v>74.69</v>
      </c>
      <c r="I32" s="8">
        <v>-50.849999999999994</v>
      </c>
      <c r="J32" s="2">
        <v>0</v>
      </c>
      <c r="K32" s="2">
        <v>0</v>
      </c>
      <c r="L32" s="2">
        <f t="shared" si="0"/>
        <v>1.6999999999999993</v>
      </c>
      <c r="M32" s="2">
        <f t="shared" si="1"/>
        <v>-3.3199999999999932</v>
      </c>
      <c r="N32" s="2">
        <v>0</v>
      </c>
    </row>
    <row r="33" spans="1:14" ht="18" x14ac:dyDescent="0.2">
      <c r="A33" s="2" t="s">
        <v>31</v>
      </c>
      <c r="B33" s="2">
        <v>34.25</v>
      </c>
      <c r="C33" s="2">
        <v>63.41</v>
      </c>
      <c r="D33" s="2">
        <v>-29.16</v>
      </c>
      <c r="E33" s="2">
        <v>0</v>
      </c>
      <c r="F33" s="2">
        <v>0</v>
      </c>
      <c r="G33" s="9">
        <v>30.599999999999998</v>
      </c>
      <c r="H33" s="2">
        <v>68.03</v>
      </c>
      <c r="I33" s="8">
        <v>-37.430000000000007</v>
      </c>
      <c r="J33" s="2">
        <v>0</v>
      </c>
      <c r="K33" s="2">
        <v>0</v>
      </c>
      <c r="L33" s="2">
        <f t="shared" si="0"/>
        <v>3.6500000000000021</v>
      </c>
      <c r="M33" s="2">
        <f t="shared" si="1"/>
        <v>-4.6200000000000045</v>
      </c>
      <c r="N33" s="2">
        <v>0</v>
      </c>
    </row>
    <row r="34" spans="1:14" ht="18" x14ac:dyDescent="0.2">
      <c r="A34" s="2" t="s">
        <v>32</v>
      </c>
      <c r="B34" s="2">
        <v>23.25</v>
      </c>
      <c r="C34" s="2">
        <v>73.87</v>
      </c>
      <c r="D34" s="2">
        <v>-50.62</v>
      </c>
      <c r="E34" s="2">
        <v>0</v>
      </c>
      <c r="F34" s="2">
        <v>0</v>
      </c>
      <c r="G34" s="9">
        <v>19.8</v>
      </c>
      <c r="H34" s="2">
        <v>78.539999999999992</v>
      </c>
      <c r="I34" s="8">
        <v>-58.739999999999995</v>
      </c>
      <c r="J34" s="2">
        <v>0</v>
      </c>
      <c r="K34" s="2">
        <v>0</v>
      </c>
      <c r="L34" s="2">
        <f t="shared" si="0"/>
        <v>3.4499999999999993</v>
      </c>
      <c r="M34" s="2">
        <f t="shared" si="1"/>
        <v>-4.6699999999999875</v>
      </c>
      <c r="N34" s="2">
        <v>0</v>
      </c>
    </row>
    <row r="35" spans="1:14" ht="18" x14ac:dyDescent="0.2">
      <c r="A35" s="2" t="s">
        <v>33</v>
      </c>
      <c r="B35" s="2">
        <v>21.7</v>
      </c>
      <c r="C35" s="2">
        <v>74.680000000000007</v>
      </c>
      <c r="D35" s="2">
        <v>-52.98</v>
      </c>
      <c r="E35" s="2">
        <v>0</v>
      </c>
      <c r="F35" s="2">
        <v>0</v>
      </c>
      <c r="G35" s="9">
        <v>18.66</v>
      </c>
      <c r="H35" s="2">
        <v>79.930000000000007</v>
      </c>
      <c r="I35" s="8">
        <v>-61.27000000000001</v>
      </c>
      <c r="J35" s="2">
        <v>0</v>
      </c>
      <c r="K35" s="2">
        <v>0</v>
      </c>
      <c r="L35" s="2">
        <f t="shared" si="0"/>
        <v>3.0399999999999991</v>
      </c>
      <c r="M35" s="2">
        <f t="shared" si="1"/>
        <v>-5.25</v>
      </c>
      <c r="N35" s="2">
        <v>0</v>
      </c>
    </row>
    <row r="36" spans="1:14" ht="18" x14ac:dyDescent="0.2">
      <c r="A36" s="2" t="s">
        <v>34</v>
      </c>
      <c r="B36" s="2">
        <v>56.77</v>
      </c>
      <c r="C36" s="2">
        <v>41.08</v>
      </c>
      <c r="D36" s="2">
        <v>15.69</v>
      </c>
      <c r="E36" s="2">
        <v>0</v>
      </c>
      <c r="F36" s="2">
        <v>1</v>
      </c>
      <c r="G36" s="9">
        <v>53.580000000000005</v>
      </c>
      <c r="H36" s="2">
        <v>45.23</v>
      </c>
      <c r="I36" s="8">
        <v>8.3500000000000085</v>
      </c>
      <c r="J36" s="2">
        <v>0</v>
      </c>
      <c r="K36" s="2">
        <v>1</v>
      </c>
      <c r="L36" s="2">
        <f t="shared" si="0"/>
        <v>3.1899999999999977</v>
      </c>
      <c r="M36" s="2">
        <f t="shared" si="1"/>
        <v>-4.1499999999999986</v>
      </c>
      <c r="N36" s="2">
        <v>0</v>
      </c>
    </row>
    <row r="37" spans="1:14" ht="18" x14ac:dyDescent="0.2">
      <c r="A37" s="2" t="s">
        <v>35</v>
      </c>
      <c r="B37" s="2">
        <v>42.14</v>
      </c>
      <c r="C37" s="2">
        <v>55.58</v>
      </c>
      <c r="D37" s="2">
        <v>-13.43</v>
      </c>
      <c r="E37" s="2">
        <v>0</v>
      </c>
      <c r="F37" s="2">
        <v>0</v>
      </c>
      <c r="G37" s="9">
        <v>41.17</v>
      </c>
      <c r="H37" s="2">
        <v>56.940000000000005</v>
      </c>
      <c r="I37" s="8">
        <v>-15.770000000000003</v>
      </c>
      <c r="J37" s="2">
        <v>0</v>
      </c>
      <c r="K37" s="2">
        <v>0</v>
      </c>
      <c r="L37" s="2">
        <f t="shared" si="0"/>
        <v>0.96999999999999886</v>
      </c>
      <c r="M37" s="2">
        <f t="shared" si="1"/>
        <v>-1.3600000000000065</v>
      </c>
      <c r="N37" s="2">
        <v>0</v>
      </c>
    </row>
    <row r="38" spans="1:14" ht="18" x14ac:dyDescent="0.2">
      <c r="A38" s="2" t="s">
        <v>36</v>
      </c>
      <c r="B38" s="2">
        <v>38</v>
      </c>
      <c r="C38" s="2">
        <v>59.47</v>
      </c>
      <c r="D38" s="2">
        <v>-21.47</v>
      </c>
      <c r="E38" s="2">
        <v>0</v>
      </c>
      <c r="F38" s="2">
        <v>0</v>
      </c>
      <c r="G38" s="9">
        <v>34.589999999999996</v>
      </c>
      <c r="H38" s="2">
        <v>64.08</v>
      </c>
      <c r="I38" s="8">
        <v>-29.490000000000002</v>
      </c>
      <c r="J38" s="2">
        <v>0</v>
      </c>
      <c r="K38" s="2">
        <v>0</v>
      </c>
      <c r="L38" s="2">
        <f t="shared" si="0"/>
        <v>3.4100000000000037</v>
      </c>
      <c r="M38" s="2">
        <f t="shared" si="1"/>
        <v>-4.6099999999999994</v>
      </c>
      <c r="N38" s="2">
        <v>0</v>
      </c>
    </row>
    <row r="39" spans="1:14" ht="18" x14ac:dyDescent="0.2">
      <c r="A39" s="2" t="s">
        <v>37</v>
      </c>
      <c r="B39" s="2">
        <v>34.86</v>
      </c>
      <c r="C39" s="2">
        <v>62</v>
      </c>
      <c r="D39" s="2">
        <v>-27.13</v>
      </c>
      <c r="E39" s="2">
        <v>0</v>
      </c>
      <c r="F39" s="2">
        <v>0</v>
      </c>
      <c r="G39" s="9">
        <v>33.300000000000004</v>
      </c>
      <c r="H39" s="2">
        <v>65.03</v>
      </c>
      <c r="I39" s="8">
        <v>-31.729999999999997</v>
      </c>
      <c r="J39" s="2">
        <v>0</v>
      </c>
      <c r="K39" s="2">
        <v>0</v>
      </c>
      <c r="L39" s="2">
        <f t="shared" si="0"/>
        <v>1.5599999999999952</v>
      </c>
      <c r="M39" s="2">
        <f t="shared" si="1"/>
        <v>-3.0300000000000011</v>
      </c>
      <c r="N39" s="2">
        <v>0</v>
      </c>
    </row>
    <row r="40" spans="1:14" ht="18" x14ac:dyDescent="0.2">
      <c r="A40" s="2" t="s">
        <v>38</v>
      </c>
      <c r="B40" s="2">
        <v>53.63</v>
      </c>
      <c r="C40" s="2">
        <v>43.45</v>
      </c>
      <c r="D40" s="2">
        <v>10.18</v>
      </c>
      <c r="E40" s="2">
        <v>0</v>
      </c>
      <c r="F40" s="2">
        <v>1</v>
      </c>
      <c r="G40" s="9">
        <v>53.21</v>
      </c>
      <c r="H40" s="2">
        <v>45.47</v>
      </c>
      <c r="I40" s="8">
        <v>7.740000000000002</v>
      </c>
      <c r="J40" s="2">
        <v>0</v>
      </c>
      <c r="K40" s="2">
        <v>1</v>
      </c>
      <c r="L40" s="2">
        <f t="shared" si="0"/>
        <v>0.42000000000000171</v>
      </c>
      <c r="M40" s="2">
        <f t="shared" si="1"/>
        <v>-2.019999999999996</v>
      </c>
      <c r="N40" s="2">
        <v>0</v>
      </c>
    </row>
    <row r="41" spans="1:14" ht="18" x14ac:dyDescent="0.2">
      <c r="A41" s="2" t="s">
        <v>39</v>
      </c>
      <c r="B41" s="2">
        <v>44.28</v>
      </c>
      <c r="C41" s="2">
        <v>53.28</v>
      </c>
      <c r="D41" s="2">
        <v>-9</v>
      </c>
      <c r="E41" s="2">
        <v>0</v>
      </c>
      <c r="F41" s="2">
        <v>0</v>
      </c>
      <c r="G41" s="9">
        <v>42.26</v>
      </c>
      <c r="H41" s="2">
        <v>56.63</v>
      </c>
      <c r="I41" s="8">
        <v>-14.370000000000005</v>
      </c>
      <c r="J41" s="2">
        <v>0</v>
      </c>
      <c r="K41" s="2">
        <v>0</v>
      </c>
      <c r="L41" s="2">
        <f t="shared" si="0"/>
        <v>2.0200000000000031</v>
      </c>
      <c r="M41" s="2">
        <f t="shared" si="1"/>
        <v>-3.3500000000000014</v>
      </c>
      <c r="N41" s="2">
        <v>0</v>
      </c>
    </row>
    <row r="42" spans="1:14" ht="18" x14ac:dyDescent="0.2">
      <c r="A42" s="2" t="s">
        <v>40</v>
      </c>
      <c r="B42" s="2">
        <v>29.36</v>
      </c>
      <c r="C42" s="2">
        <v>67.42</v>
      </c>
      <c r="D42" s="2">
        <v>-38.06</v>
      </c>
      <c r="E42" s="2">
        <v>0</v>
      </c>
      <c r="F42" s="2">
        <v>0</v>
      </c>
      <c r="G42" s="9">
        <v>28.57</v>
      </c>
      <c r="H42" s="2">
        <v>69.8</v>
      </c>
      <c r="I42" s="8">
        <v>-41.23</v>
      </c>
      <c r="J42" s="2">
        <v>0</v>
      </c>
      <c r="K42" s="2">
        <v>0</v>
      </c>
      <c r="L42" s="2">
        <f t="shared" si="0"/>
        <v>0.78999999999999915</v>
      </c>
      <c r="M42" s="2">
        <f t="shared" si="1"/>
        <v>-2.3799999999999955</v>
      </c>
      <c r="N42" s="2">
        <v>0</v>
      </c>
    </row>
    <row r="43" spans="1:14" ht="18" x14ac:dyDescent="0.2">
      <c r="A43" s="2" t="s">
        <v>41</v>
      </c>
      <c r="B43" s="2">
        <v>28.22</v>
      </c>
      <c r="C43" s="2">
        <v>68.77</v>
      </c>
      <c r="D43" s="2">
        <v>-40.549999999999997</v>
      </c>
      <c r="E43" s="2">
        <v>0</v>
      </c>
      <c r="F43" s="2">
        <v>0</v>
      </c>
      <c r="G43" s="9">
        <v>26.13</v>
      </c>
      <c r="H43" s="2">
        <v>72.180000000000007</v>
      </c>
      <c r="I43" s="8">
        <v>-46.050000000000011</v>
      </c>
      <c r="J43" s="2">
        <v>0</v>
      </c>
      <c r="K43" s="2">
        <v>0</v>
      </c>
      <c r="L43" s="2">
        <f t="shared" si="0"/>
        <v>2.09</v>
      </c>
      <c r="M43" s="2">
        <f t="shared" si="1"/>
        <v>-3.4100000000000108</v>
      </c>
      <c r="N43" s="2">
        <v>0</v>
      </c>
    </row>
    <row r="44" spans="1:14" ht="18" x14ac:dyDescent="0.2">
      <c r="A44" s="2" t="s">
        <v>42</v>
      </c>
      <c r="B44" s="2">
        <v>37.659999999999997</v>
      </c>
      <c r="C44" s="2">
        <v>59.64</v>
      </c>
      <c r="D44" s="2">
        <v>-21.98</v>
      </c>
      <c r="E44" s="2">
        <v>0</v>
      </c>
      <c r="F44" s="2">
        <v>0</v>
      </c>
      <c r="G44" s="9">
        <v>36.25</v>
      </c>
      <c r="H44" s="2">
        <v>62.19</v>
      </c>
      <c r="I44" s="8">
        <v>-25.939999999999998</v>
      </c>
      <c r="J44" s="2">
        <v>0</v>
      </c>
      <c r="K44" s="2">
        <v>0</v>
      </c>
      <c r="L44" s="2">
        <f t="shared" si="0"/>
        <v>1.4099999999999966</v>
      </c>
      <c r="M44" s="2">
        <f t="shared" si="1"/>
        <v>-2.5499999999999972</v>
      </c>
      <c r="N44" s="2">
        <v>0</v>
      </c>
    </row>
    <row r="45" spans="1:14" ht="18" x14ac:dyDescent="0.2">
      <c r="A45" s="2" t="s">
        <v>43</v>
      </c>
      <c r="B45" s="2">
        <v>23.62</v>
      </c>
      <c r="C45" s="2">
        <v>73.06</v>
      </c>
      <c r="D45" s="2">
        <v>-49.44</v>
      </c>
      <c r="E45" s="2">
        <v>0</v>
      </c>
      <c r="F45" s="2">
        <v>0</v>
      </c>
      <c r="G45" s="9">
        <v>21.36</v>
      </c>
      <c r="H45" s="2">
        <v>77.37</v>
      </c>
      <c r="I45" s="8">
        <v>-56.010000000000005</v>
      </c>
      <c r="J45" s="2">
        <v>0</v>
      </c>
      <c r="K45" s="2">
        <v>0</v>
      </c>
      <c r="L45" s="2">
        <f t="shared" si="0"/>
        <v>2.2600000000000016</v>
      </c>
      <c r="M45" s="2">
        <f t="shared" si="1"/>
        <v>-4.3100000000000023</v>
      </c>
      <c r="N45" s="2">
        <v>0</v>
      </c>
    </row>
    <row r="46" spans="1:14" ht="18" x14ac:dyDescent="0.2">
      <c r="A46" s="2" t="s">
        <v>44</v>
      </c>
      <c r="B46" s="2">
        <v>51.51</v>
      </c>
      <c r="C46" s="2">
        <v>45.54</v>
      </c>
      <c r="D46" s="2">
        <v>5.97</v>
      </c>
      <c r="E46" s="2">
        <v>0</v>
      </c>
      <c r="F46" s="2">
        <v>1</v>
      </c>
      <c r="G46" s="9">
        <v>52.43</v>
      </c>
      <c r="H46" s="2">
        <v>46.08</v>
      </c>
      <c r="I46" s="8">
        <v>6.3500000000000014</v>
      </c>
      <c r="J46" s="2">
        <v>0</v>
      </c>
      <c r="K46" s="2">
        <v>1</v>
      </c>
      <c r="L46" s="2">
        <f t="shared" si="0"/>
        <v>-0.92000000000000171</v>
      </c>
      <c r="M46" s="2">
        <f t="shared" si="1"/>
        <v>-0.53999999999999915</v>
      </c>
      <c r="N46" s="2">
        <v>0</v>
      </c>
    </row>
    <row r="47" spans="1:14" ht="18" x14ac:dyDescent="0.2">
      <c r="A47" s="2" t="s">
        <v>45</v>
      </c>
      <c r="B47" s="2">
        <v>63.01</v>
      </c>
      <c r="C47" s="2">
        <v>34.65</v>
      </c>
      <c r="D47" s="2">
        <v>28.36</v>
      </c>
      <c r="E47" s="2">
        <v>0</v>
      </c>
      <c r="F47" s="2">
        <v>1</v>
      </c>
      <c r="G47" s="9">
        <v>62.41</v>
      </c>
      <c r="H47" s="2">
        <v>36.230000000000004</v>
      </c>
      <c r="I47" s="8">
        <v>26.179999999999993</v>
      </c>
      <c r="J47" s="2">
        <v>0</v>
      </c>
      <c r="K47" s="2">
        <v>1</v>
      </c>
      <c r="L47" s="2">
        <f t="shared" si="0"/>
        <v>0.60000000000000142</v>
      </c>
      <c r="M47" s="2">
        <f t="shared" si="1"/>
        <v>-1.5800000000000054</v>
      </c>
      <c r="N47" s="2">
        <v>0</v>
      </c>
    </row>
    <row r="48" spans="1:14" ht="18" x14ac:dyDescent="0.2">
      <c r="A48" s="2" t="s">
        <v>46</v>
      </c>
      <c r="B48" s="2">
        <v>41.02</v>
      </c>
      <c r="C48" s="2">
        <v>55.25</v>
      </c>
      <c r="D48" s="2">
        <v>-14.23</v>
      </c>
      <c r="E48" s="2">
        <v>0</v>
      </c>
      <c r="F48" s="2">
        <v>0</v>
      </c>
      <c r="G48" s="9">
        <v>38.409999999999997</v>
      </c>
      <c r="H48" s="2">
        <v>59.530000000000008</v>
      </c>
      <c r="I48" s="8">
        <v>-21.120000000000012</v>
      </c>
      <c r="J48" s="2">
        <v>0</v>
      </c>
      <c r="K48" s="2">
        <v>0</v>
      </c>
      <c r="L48" s="2">
        <f t="shared" si="0"/>
        <v>2.6100000000000065</v>
      </c>
      <c r="M48" s="2">
        <f t="shared" si="1"/>
        <v>-4.2800000000000082</v>
      </c>
      <c r="N48" s="2">
        <v>0</v>
      </c>
    </row>
    <row r="49" spans="1:14" ht="18" x14ac:dyDescent="0.2">
      <c r="A49" s="2" t="s">
        <v>47</v>
      </c>
      <c r="B49" s="2">
        <v>51.21</v>
      </c>
      <c r="C49" s="2">
        <v>46.05</v>
      </c>
      <c r="D49" s="2">
        <v>5.16</v>
      </c>
      <c r="E49" s="2">
        <v>1</v>
      </c>
      <c r="F49" s="2">
        <v>1</v>
      </c>
      <c r="G49" s="9">
        <v>49.64</v>
      </c>
      <c r="H49" s="2">
        <v>48.92</v>
      </c>
      <c r="I49" s="8">
        <v>0.71999999999999886</v>
      </c>
      <c r="J49" s="2">
        <v>1</v>
      </c>
      <c r="K49" s="2">
        <v>1</v>
      </c>
      <c r="L49" s="2">
        <f t="shared" si="0"/>
        <v>1.5700000000000003</v>
      </c>
      <c r="M49" s="2">
        <f t="shared" si="1"/>
        <v>-2.8700000000000045</v>
      </c>
      <c r="N49" s="2">
        <v>0</v>
      </c>
    </row>
    <row r="50" spans="1:14" ht="18" x14ac:dyDescent="0.2">
      <c r="A50" s="2" t="s">
        <v>48</v>
      </c>
      <c r="B50" s="2">
        <v>32.869999999999997</v>
      </c>
      <c r="C50" s="2">
        <v>63.82</v>
      </c>
      <c r="D50" s="2">
        <v>-30.95</v>
      </c>
      <c r="E50" s="2">
        <v>0</v>
      </c>
      <c r="F50" s="2">
        <v>0</v>
      </c>
      <c r="G50" s="9">
        <v>29.94</v>
      </c>
      <c r="H50" s="2">
        <v>68.28</v>
      </c>
      <c r="I50" s="8">
        <v>-38.340000000000003</v>
      </c>
      <c r="J50" s="2">
        <v>0</v>
      </c>
      <c r="K50" s="2">
        <v>0</v>
      </c>
      <c r="L50" s="2">
        <f t="shared" si="0"/>
        <v>2.9299999999999962</v>
      </c>
      <c r="M50" s="2">
        <f t="shared" si="1"/>
        <v>-4.4600000000000009</v>
      </c>
      <c r="N50" s="2">
        <v>0</v>
      </c>
    </row>
    <row r="51" spans="1:14" ht="18" x14ac:dyDescent="0.2">
      <c r="A51" s="2" t="s">
        <v>49</v>
      </c>
      <c r="B51" s="2">
        <v>27.91</v>
      </c>
      <c r="C51" s="2">
        <v>68.98</v>
      </c>
      <c r="D51" s="2">
        <v>-41.08</v>
      </c>
      <c r="E51" s="2">
        <v>0</v>
      </c>
      <c r="F51" s="2">
        <v>0</v>
      </c>
      <c r="G51" s="9">
        <v>24.060000000000002</v>
      </c>
      <c r="H51" s="2">
        <v>73.98</v>
      </c>
      <c r="I51" s="8">
        <v>-49.92</v>
      </c>
      <c r="J51" s="2">
        <v>0</v>
      </c>
      <c r="K51" s="2">
        <v>0</v>
      </c>
      <c r="L51" s="2">
        <f t="shared" si="0"/>
        <v>3.8499999999999979</v>
      </c>
      <c r="M51" s="2">
        <f t="shared" si="1"/>
        <v>-5</v>
      </c>
      <c r="N51" s="2">
        <v>0</v>
      </c>
    </row>
    <row r="52" spans="1:14" ht="18" x14ac:dyDescent="0.2">
      <c r="A52" s="2" t="s">
        <v>50</v>
      </c>
      <c r="B52" s="2">
        <v>82.71</v>
      </c>
      <c r="C52" s="2">
        <v>15.71</v>
      </c>
      <c r="D52" s="2">
        <v>67</v>
      </c>
      <c r="E52" s="2">
        <v>0</v>
      </c>
      <c r="F52" s="2">
        <v>1</v>
      </c>
      <c r="G52" s="9">
        <v>81.210000000000008</v>
      </c>
      <c r="H52" s="2">
        <v>17.86</v>
      </c>
      <c r="I52" s="8">
        <v>63.350000000000009</v>
      </c>
      <c r="J52" s="2">
        <v>0</v>
      </c>
      <c r="K52" s="2">
        <v>1</v>
      </c>
      <c r="L52" s="2">
        <f t="shared" si="0"/>
        <v>1.4999999999999858</v>
      </c>
      <c r="M52" s="2">
        <f t="shared" si="1"/>
        <v>-2.1499999999999986</v>
      </c>
      <c r="N52" s="2">
        <v>0</v>
      </c>
    </row>
    <row r="53" spans="1:14" ht="18" x14ac:dyDescent="0.2">
      <c r="A53" s="2" t="s">
        <v>51</v>
      </c>
      <c r="B53" s="2">
        <v>38.979999999999997</v>
      </c>
      <c r="C53" s="2">
        <v>58.71</v>
      </c>
      <c r="D53" s="2">
        <v>-19.73</v>
      </c>
      <c r="E53" s="2">
        <v>0</v>
      </c>
      <c r="F53" s="2">
        <v>0</v>
      </c>
      <c r="G53" s="9">
        <v>40.020000000000003</v>
      </c>
      <c r="H53" s="2">
        <v>58.989999999999995</v>
      </c>
      <c r="I53" s="8">
        <v>-18.969999999999992</v>
      </c>
      <c r="J53" s="2">
        <v>0</v>
      </c>
      <c r="K53" s="2">
        <v>0</v>
      </c>
      <c r="L53" s="2">
        <f t="shared" si="0"/>
        <v>-1.0400000000000063</v>
      </c>
      <c r="M53" s="2">
        <f t="shared" si="1"/>
        <v>-0.27999999999999403</v>
      </c>
      <c r="N53" s="2">
        <v>0</v>
      </c>
    </row>
    <row r="54" spans="1:14" ht="18" x14ac:dyDescent="0.2">
      <c r="A54" s="2" t="s">
        <v>52</v>
      </c>
      <c r="B54" s="2">
        <v>19.91</v>
      </c>
      <c r="C54" s="2">
        <v>77.180000000000007</v>
      </c>
      <c r="D54" s="2">
        <v>-57.27</v>
      </c>
      <c r="E54" s="2">
        <v>0</v>
      </c>
      <c r="F54" s="2">
        <v>0</v>
      </c>
      <c r="G54" s="9">
        <v>19</v>
      </c>
      <c r="H54" s="2">
        <v>79.679999999999993</v>
      </c>
      <c r="I54" s="8">
        <v>-60.679999999999993</v>
      </c>
      <c r="J54" s="2">
        <v>0</v>
      </c>
      <c r="K54" s="2">
        <v>0</v>
      </c>
      <c r="L54" s="2">
        <f t="shared" si="0"/>
        <v>0.91000000000000014</v>
      </c>
      <c r="M54" s="2">
        <f t="shared" si="1"/>
        <v>-2.4999999999999858</v>
      </c>
      <c r="N54" s="2">
        <v>0</v>
      </c>
    </row>
    <row r="55" spans="1:14" ht="18" x14ac:dyDescent="0.2">
      <c r="A55" s="2" t="s">
        <v>53</v>
      </c>
      <c r="B55" s="2">
        <v>32.4</v>
      </c>
      <c r="C55" s="2">
        <v>63.69</v>
      </c>
      <c r="D55" s="2">
        <v>-31.29</v>
      </c>
      <c r="E55" s="2">
        <v>0</v>
      </c>
      <c r="F55" s="2">
        <v>0</v>
      </c>
      <c r="G55" s="9">
        <v>29.29</v>
      </c>
      <c r="H55" s="2">
        <v>69.069999999999993</v>
      </c>
      <c r="I55" s="8">
        <v>-39.779999999999994</v>
      </c>
      <c r="J55" s="2">
        <v>0</v>
      </c>
      <c r="K55" s="2">
        <v>0</v>
      </c>
      <c r="L55" s="2">
        <f t="shared" si="0"/>
        <v>3.1099999999999994</v>
      </c>
      <c r="M55" s="2">
        <f t="shared" si="1"/>
        <v>-5.3799999999999955</v>
      </c>
      <c r="N55" s="2">
        <v>0</v>
      </c>
    </row>
    <row r="56" spans="1:14" ht="18" x14ac:dyDescent="0.2">
      <c r="A56" s="2" t="s">
        <v>54</v>
      </c>
      <c r="B56" s="2">
        <v>27.52</v>
      </c>
      <c r="C56" s="2">
        <v>69.489999999999995</v>
      </c>
      <c r="D56" s="2">
        <v>-41.97</v>
      </c>
      <c r="E56" s="2">
        <v>0</v>
      </c>
      <c r="F56" s="2">
        <v>0</v>
      </c>
      <c r="G56" s="9">
        <v>25.6</v>
      </c>
      <c r="H56" s="2">
        <v>72.899999999999991</v>
      </c>
      <c r="I56" s="8">
        <v>-47.29999999999999</v>
      </c>
      <c r="J56" s="2">
        <v>0</v>
      </c>
      <c r="K56" s="2">
        <v>0</v>
      </c>
      <c r="L56" s="2">
        <f t="shared" si="0"/>
        <v>1.9199999999999982</v>
      </c>
      <c r="M56" s="2">
        <f t="shared" si="1"/>
        <v>-3.4099999999999966</v>
      </c>
      <c r="N56" s="2">
        <v>0</v>
      </c>
    </row>
    <row r="57" spans="1:14" ht="18" x14ac:dyDescent="0.2">
      <c r="A57" s="2" t="s">
        <v>55</v>
      </c>
      <c r="B57" s="2">
        <v>23.55</v>
      </c>
      <c r="C57" s="2">
        <v>73.67</v>
      </c>
      <c r="D57" s="2">
        <v>-50.12</v>
      </c>
      <c r="E57" s="2">
        <v>0</v>
      </c>
      <c r="F57" s="2">
        <v>0</v>
      </c>
      <c r="G57" s="9">
        <v>21.3</v>
      </c>
      <c r="H57" s="2">
        <v>77.45</v>
      </c>
      <c r="I57" s="8">
        <v>-56.150000000000006</v>
      </c>
      <c r="J57" s="2">
        <v>0</v>
      </c>
      <c r="K57" s="2">
        <v>0</v>
      </c>
      <c r="L57" s="2">
        <f t="shared" si="0"/>
        <v>2.25</v>
      </c>
      <c r="M57" s="2">
        <f t="shared" si="1"/>
        <v>-3.7800000000000011</v>
      </c>
      <c r="N57" s="2">
        <v>0</v>
      </c>
    </row>
    <row r="58" spans="1:14" ht="18" x14ac:dyDescent="0.2">
      <c r="A58" s="2" t="s">
        <v>56</v>
      </c>
      <c r="B58" s="2">
        <v>28.81</v>
      </c>
      <c r="C58" s="2">
        <v>67.08</v>
      </c>
      <c r="D58" s="2">
        <v>-38.26</v>
      </c>
      <c r="E58" s="2">
        <v>0</v>
      </c>
      <c r="F58" s="2">
        <v>0</v>
      </c>
      <c r="G58" s="9">
        <v>25.6</v>
      </c>
      <c r="H58" s="2">
        <v>72.789999999999992</v>
      </c>
      <c r="I58" s="8">
        <v>-47.189999999999991</v>
      </c>
      <c r="J58" s="2">
        <v>0</v>
      </c>
      <c r="K58" s="2">
        <v>0</v>
      </c>
      <c r="L58" s="2">
        <f t="shared" si="0"/>
        <v>3.2099999999999973</v>
      </c>
      <c r="M58" s="2">
        <f t="shared" si="1"/>
        <v>-5.7099999999999937</v>
      </c>
      <c r="N58" s="2">
        <v>0</v>
      </c>
    </row>
    <row r="59" spans="1:14" ht="18" x14ac:dyDescent="0.2">
      <c r="A59" s="2" t="s">
        <v>57</v>
      </c>
      <c r="B59" s="2">
        <v>30.3</v>
      </c>
      <c r="C59" s="2">
        <v>66.55</v>
      </c>
      <c r="D59" s="2">
        <v>-36.25</v>
      </c>
      <c r="E59" s="2">
        <v>0</v>
      </c>
      <c r="F59" s="2">
        <v>0</v>
      </c>
      <c r="G59" s="9">
        <v>28.59</v>
      </c>
      <c r="H59" s="2">
        <v>69.72</v>
      </c>
      <c r="I59" s="8">
        <v>-41.129999999999995</v>
      </c>
      <c r="J59" s="2">
        <v>0</v>
      </c>
      <c r="K59" s="2">
        <v>0</v>
      </c>
      <c r="L59" s="2">
        <f t="shared" si="0"/>
        <v>1.7100000000000009</v>
      </c>
      <c r="M59" s="2">
        <f t="shared" si="1"/>
        <v>-3.1700000000000017</v>
      </c>
      <c r="N59" s="2">
        <v>0</v>
      </c>
    </row>
    <row r="60" spans="1:14" ht="18" x14ac:dyDescent="0.2">
      <c r="A60" s="2" t="s">
        <v>58</v>
      </c>
      <c r="B60" s="2">
        <v>24.67</v>
      </c>
      <c r="C60" s="2">
        <v>72.08</v>
      </c>
      <c r="D60" s="2">
        <v>-47.41</v>
      </c>
      <c r="E60" s="2">
        <v>0</v>
      </c>
      <c r="F60" s="2">
        <v>0</v>
      </c>
      <c r="G60" s="9">
        <v>23.45</v>
      </c>
      <c r="H60" s="2">
        <v>74.510000000000005</v>
      </c>
      <c r="I60" s="8">
        <v>-51.06</v>
      </c>
      <c r="J60" s="2">
        <v>0</v>
      </c>
      <c r="K60" s="2">
        <v>0</v>
      </c>
      <c r="L60" s="2">
        <f t="shared" si="0"/>
        <v>1.2200000000000024</v>
      </c>
      <c r="M60" s="2">
        <f t="shared" si="1"/>
        <v>-2.4300000000000068</v>
      </c>
      <c r="N60" s="2">
        <v>0</v>
      </c>
    </row>
    <row r="61" spans="1:14" ht="18" x14ac:dyDescent="0.2">
      <c r="A61" s="2" t="s">
        <v>59</v>
      </c>
      <c r="B61" s="2">
        <v>38.83</v>
      </c>
      <c r="C61" s="2">
        <v>58.41</v>
      </c>
      <c r="D61" s="2">
        <v>-19.579999999999998</v>
      </c>
      <c r="E61" s="2">
        <v>0</v>
      </c>
      <c r="F61" s="2">
        <v>0</v>
      </c>
      <c r="G61" s="9">
        <v>37.019999999999996</v>
      </c>
      <c r="H61" s="2">
        <v>61.19</v>
      </c>
      <c r="I61" s="8">
        <v>-24.17</v>
      </c>
      <c r="J61" s="2">
        <v>0</v>
      </c>
      <c r="K61" s="2">
        <v>0</v>
      </c>
      <c r="L61" s="2">
        <f t="shared" si="0"/>
        <v>1.8100000000000023</v>
      </c>
      <c r="M61" s="2">
        <f t="shared" si="1"/>
        <v>-2.7800000000000011</v>
      </c>
      <c r="N61" s="2">
        <v>0</v>
      </c>
    </row>
    <row r="62" spans="1:14" ht="18" x14ac:dyDescent="0.2">
      <c r="A62" s="2" t="s">
        <v>60</v>
      </c>
      <c r="B62" s="2">
        <v>32.5</v>
      </c>
      <c r="C62" s="2">
        <v>64.290000000000006</v>
      </c>
      <c r="D62" s="2">
        <v>-31.79</v>
      </c>
      <c r="E62" s="2">
        <v>0</v>
      </c>
      <c r="F62" s="2">
        <v>0</v>
      </c>
      <c r="G62" s="9">
        <v>28.51</v>
      </c>
      <c r="H62" s="2">
        <v>69.81</v>
      </c>
      <c r="I62" s="8">
        <v>-41.3</v>
      </c>
      <c r="J62" s="2">
        <v>0</v>
      </c>
      <c r="K62" s="2">
        <v>0</v>
      </c>
      <c r="L62" s="2">
        <f t="shared" si="0"/>
        <v>3.9899999999999984</v>
      </c>
      <c r="M62" s="2">
        <f t="shared" si="1"/>
        <v>-5.519999999999996</v>
      </c>
      <c r="N62" s="2">
        <v>0</v>
      </c>
    </row>
    <row r="63" spans="1:14" ht="18" x14ac:dyDescent="0.2">
      <c r="A63" s="2" t="s">
        <v>61</v>
      </c>
      <c r="B63" s="2">
        <v>33.68</v>
      </c>
      <c r="C63" s="2">
        <v>63.23</v>
      </c>
      <c r="D63" s="2">
        <v>-29.55</v>
      </c>
      <c r="E63" s="2">
        <v>0</v>
      </c>
      <c r="F63" s="2">
        <v>0</v>
      </c>
      <c r="G63" s="9">
        <v>29.37</v>
      </c>
      <c r="H63" s="2">
        <v>68.92</v>
      </c>
      <c r="I63" s="8">
        <v>-39.549999999999997</v>
      </c>
      <c r="J63" s="2">
        <v>0</v>
      </c>
      <c r="K63" s="2">
        <v>0</v>
      </c>
      <c r="L63" s="2">
        <f t="shared" si="0"/>
        <v>4.3099999999999987</v>
      </c>
      <c r="M63" s="2">
        <f t="shared" si="1"/>
        <v>-5.6900000000000048</v>
      </c>
      <c r="N63" s="2">
        <v>0</v>
      </c>
    </row>
    <row r="64" spans="1:14" ht="18" x14ac:dyDescent="0.2">
      <c r="A64" s="2" t="s">
        <v>62</v>
      </c>
      <c r="B64" s="2">
        <v>42.29</v>
      </c>
      <c r="C64" s="2">
        <v>55.77</v>
      </c>
      <c r="D64" s="2">
        <v>-13.48</v>
      </c>
      <c r="E64" s="2">
        <v>0</v>
      </c>
      <c r="F64" s="2">
        <v>0</v>
      </c>
      <c r="G64" s="9">
        <v>37.97</v>
      </c>
      <c r="H64" s="2">
        <v>60.699999999999996</v>
      </c>
      <c r="I64" s="8">
        <v>-22.729999999999997</v>
      </c>
      <c r="J64" s="2">
        <v>0</v>
      </c>
      <c r="K64" s="2">
        <v>0</v>
      </c>
      <c r="L64" s="2">
        <f t="shared" si="0"/>
        <v>4.32</v>
      </c>
      <c r="M64" s="2">
        <f t="shared" si="1"/>
        <v>-4.9299999999999926</v>
      </c>
      <c r="N64" s="2">
        <v>0</v>
      </c>
    </row>
    <row r="65" spans="1:14" ht="18" x14ac:dyDescent="0.2">
      <c r="A65" s="2" t="s">
        <v>63</v>
      </c>
      <c r="B65" s="2">
        <v>33.770000000000003</v>
      </c>
      <c r="C65" s="2">
        <v>63.51</v>
      </c>
      <c r="D65" s="2">
        <v>-29.75</v>
      </c>
      <c r="E65" s="2">
        <v>0</v>
      </c>
      <c r="F65" s="2">
        <v>0</v>
      </c>
      <c r="G65" s="9">
        <v>32.65</v>
      </c>
      <c r="H65" s="2">
        <v>66.210000000000008</v>
      </c>
      <c r="I65" s="8">
        <v>-33.560000000000009</v>
      </c>
      <c r="J65" s="2">
        <v>0</v>
      </c>
      <c r="K65" s="2">
        <v>0</v>
      </c>
      <c r="L65" s="2">
        <f t="shared" si="0"/>
        <v>1.1200000000000045</v>
      </c>
      <c r="M65" s="2">
        <f t="shared" si="1"/>
        <v>-2.7000000000000099</v>
      </c>
      <c r="N65" s="2">
        <v>0</v>
      </c>
    </row>
    <row r="66" spans="1:14" ht="18" x14ac:dyDescent="0.2">
      <c r="A66" s="2" t="s">
        <v>64</v>
      </c>
      <c r="B66" s="2">
        <v>39.43</v>
      </c>
      <c r="C66" s="2">
        <v>58.47</v>
      </c>
      <c r="D66" s="2">
        <v>-19.04</v>
      </c>
      <c r="E66" s="2">
        <v>0</v>
      </c>
      <c r="F66" s="2">
        <v>0</v>
      </c>
      <c r="G66" s="9">
        <v>35.160000000000004</v>
      </c>
      <c r="H66" s="2">
        <v>63.460000000000008</v>
      </c>
      <c r="I66" s="8">
        <v>-28.300000000000004</v>
      </c>
      <c r="J66" s="2">
        <v>0</v>
      </c>
      <c r="K66" s="2">
        <v>0</v>
      </c>
      <c r="L66" s="2">
        <f t="shared" si="0"/>
        <v>4.269999999999996</v>
      </c>
      <c r="M66" s="2">
        <f t="shared" si="1"/>
        <v>-4.9900000000000091</v>
      </c>
      <c r="N66" s="2">
        <v>0</v>
      </c>
    </row>
    <row r="67" spans="1:14" ht="18" x14ac:dyDescent="0.2">
      <c r="A67" s="2" t="s">
        <v>65</v>
      </c>
      <c r="B67" s="2">
        <v>34.46</v>
      </c>
      <c r="C67" s="2">
        <v>62.3</v>
      </c>
      <c r="D67" s="2">
        <v>-27.84</v>
      </c>
      <c r="E67" s="2">
        <v>0</v>
      </c>
      <c r="F67" s="2">
        <v>0</v>
      </c>
      <c r="G67" s="9">
        <v>31.569999999999997</v>
      </c>
      <c r="H67" s="2">
        <v>66.679999999999993</v>
      </c>
      <c r="I67" s="8">
        <v>-35.11</v>
      </c>
      <c r="J67" s="2">
        <v>0</v>
      </c>
      <c r="K67" s="2">
        <v>0</v>
      </c>
      <c r="L67" s="2">
        <f t="shared" ref="L67:L68" si="2">(B67-G67)</f>
        <v>2.8900000000000041</v>
      </c>
      <c r="M67" s="2">
        <f t="shared" ref="M67:M68" si="3">(C67-H67)</f>
        <v>-4.3799999999999955</v>
      </c>
      <c r="N67" s="2">
        <v>0</v>
      </c>
    </row>
    <row r="68" spans="1:14" ht="18" x14ac:dyDescent="0.2">
      <c r="A68" s="2" t="s">
        <v>66</v>
      </c>
      <c r="B68" s="2">
        <v>38.56</v>
      </c>
      <c r="C68" s="2">
        <v>58.77</v>
      </c>
      <c r="D68" s="2">
        <v>-20.21</v>
      </c>
      <c r="E68" s="2">
        <v>0</v>
      </c>
      <c r="F68" s="2">
        <v>0</v>
      </c>
      <c r="G68" s="9">
        <v>36.85</v>
      </c>
      <c r="H68" s="2">
        <v>61.360000000000007</v>
      </c>
      <c r="I68" s="8">
        <v>-24.510000000000005</v>
      </c>
      <c r="J68" s="2">
        <v>0</v>
      </c>
      <c r="K68" s="2">
        <v>0</v>
      </c>
      <c r="L68" s="2">
        <f t="shared" si="2"/>
        <v>1.7100000000000009</v>
      </c>
      <c r="M68" s="2">
        <f t="shared" si="3"/>
        <v>-2.5900000000000034</v>
      </c>
      <c r="N68" s="2">
        <v>0</v>
      </c>
    </row>
  </sheetData>
  <autoFilter ref="A1:M68" xr:uid="{F5A8C967-F24A-7643-B38D-FD209D5CC3C3}"/>
  <hyperlinks>
    <hyperlink ref="A2" r:id="rId1" tooltip="Adams County, Pennsylvania" display="https://en.wikipedia.org/wiki/Adams_County,_Pennsylvania" xr:uid="{DD6A363F-7FC9-4341-9537-8A13D494F516}"/>
    <hyperlink ref="A3" r:id="rId2" tooltip="Allegheny County, Pennsylvania" display="https://en.wikipedia.org/wiki/Allegheny_County,_Pennsylvania" xr:uid="{B794C43E-C54E-0744-AF6A-88DE11CC1603}"/>
    <hyperlink ref="A4" r:id="rId3" tooltip="Armstrong County, Pennsylvania" display="https://en.wikipedia.org/wiki/Armstrong_County,_Pennsylvania" xr:uid="{C4366599-7CB5-9445-B178-D586AB4AAA49}"/>
    <hyperlink ref="A5" r:id="rId4" tooltip="Beaver County, Pennsylvania" display="https://en.wikipedia.org/wiki/Beaver_County,_Pennsylvania" xr:uid="{13467BC5-767F-8F4B-B52B-7066BD88251D}"/>
    <hyperlink ref="A6" r:id="rId5" tooltip="Bedford County, Pennsylvania" display="https://en.wikipedia.org/wiki/Bedford_County,_Pennsylvania" xr:uid="{05D096E2-15FE-9C42-9D2E-95D553E5D73C}"/>
    <hyperlink ref="A7" r:id="rId6" tooltip="Berks County, Pennsylvania" display="https://en.wikipedia.org/wiki/Berks_County,_Pennsylvania" xr:uid="{D0B544D0-258B-D941-9A3E-5574A80586F9}"/>
    <hyperlink ref="A8" r:id="rId7" tooltip="Blair County, Pennsylvania" display="https://en.wikipedia.org/wiki/Blair_County,_Pennsylvania" xr:uid="{4101BE11-DE90-CA49-8E39-6AA28A404B2F}"/>
    <hyperlink ref="A9" r:id="rId8" tooltip="Bradford County, Pennsylvania" display="https://en.wikipedia.org/wiki/Bradford_County,_Pennsylvania" xr:uid="{7906973A-AB32-1D42-B2B9-ADA0B6649BB9}"/>
    <hyperlink ref="A10" r:id="rId9" tooltip="Bucks County, Pennsylvania" display="https://en.wikipedia.org/wiki/Bucks_County,_Pennsylvania" xr:uid="{CC33CE69-3CD2-AE48-8847-4A4B03AD09DE}"/>
    <hyperlink ref="A11" r:id="rId10" tooltip="Butler County, Pennsylvania" display="https://en.wikipedia.org/wiki/Butler_County,_Pennsylvania" xr:uid="{E9AE66C0-3BE5-3443-BB47-0850BFC6B998}"/>
    <hyperlink ref="A12" r:id="rId11" tooltip="Cambria County, Pennsylvania" display="https://en.wikipedia.org/wiki/Cambria_County,_Pennsylvania" xr:uid="{48A720E8-01D3-2945-81B5-22B820628884}"/>
    <hyperlink ref="A13" r:id="rId12" tooltip="Cameron County, Pennsylvania" display="https://en.wikipedia.org/wiki/Cameron_County,_Pennsylvania" xr:uid="{4DC1F9B8-8037-EF41-ACDE-0678D520BB26}"/>
    <hyperlink ref="A14" r:id="rId13" tooltip="Carbon County, Pennsylvania" display="https://en.wikipedia.org/wiki/Carbon_County,_Pennsylvania" xr:uid="{A7476A51-3EE7-9447-A90D-36E27E21128E}"/>
    <hyperlink ref="A15" r:id="rId14" tooltip="Centre County, Pennsylvania" display="https://en.wikipedia.org/wiki/Centre_County,_Pennsylvania" xr:uid="{77E49E4B-8AB3-4A42-AA07-30A77A47650C}"/>
    <hyperlink ref="A16" r:id="rId15" tooltip="Chester County, Pennsylvania" display="https://en.wikipedia.org/wiki/Chester_County,_Pennsylvania" xr:uid="{0F31D612-FD9E-144B-A9BE-262C99A2F9F7}"/>
    <hyperlink ref="A17" r:id="rId16" tooltip="Clarion County, Pennsylvania" display="https://en.wikipedia.org/wiki/Clarion_County,_Pennsylvania" xr:uid="{841EB880-5746-0341-918F-180E60F02AE8}"/>
    <hyperlink ref="A18" r:id="rId17" tooltip="Clearfield County, Pennsylvania" display="https://en.wikipedia.org/wiki/Clearfield_County,_Pennsylvania" xr:uid="{96C81FB0-B7AD-3845-8F1B-90E411B0CF19}"/>
    <hyperlink ref="A19" r:id="rId18" tooltip="Clinton County, Pennsylvania" display="https://en.wikipedia.org/wiki/Clinton_County,_Pennsylvania" xr:uid="{D9C70829-641C-7B43-A709-25B579C73B70}"/>
    <hyperlink ref="A20" r:id="rId19" tooltip="Columbia County, Pennsylvania" display="https://en.wikipedia.org/wiki/Columbia_County,_Pennsylvania" xr:uid="{919E6F7C-417B-9049-A3C6-AB2972B23CB5}"/>
    <hyperlink ref="A21" r:id="rId20" tooltip="Crawford County, Pennsylvania" display="https://en.wikipedia.org/wiki/Crawford_County,_Pennsylvania" xr:uid="{6CEF06B9-5922-F047-B4CB-B6BCA000FDD1}"/>
    <hyperlink ref="A22" r:id="rId21" tooltip="Cumberland County, Pennsylvania" display="https://en.wikipedia.org/wiki/Cumberland_County,_Pennsylvania" xr:uid="{746B1512-C62C-2E4A-B4A9-ABDA9C268888}"/>
    <hyperlink ref="A23" r:id="rId22" tooltip="Dauphin County, Pennsylvania" display="https://en.wikipedia.org/wiki/Dauphin_County,_Pennsylvania" xr:uid="{32ABCCB2-DE94-F242-9B32-8913E1D37CB2}"/>
    <hyperlink ref="A24" r:id="rId23" tooltip="Delaware County, Pennsylvania" display="https://en.wikipedia.org/wiki/Delaware_County,_Pennsylvania" xr:uid="{AF0CEDC3-61E9-9D40-99A7-60E8F41A047E}"/>
    <hyperlink ref="A25" r:id="rId24" tooltip="Elk County, Pennsylvania" display="https://en.wikipedia.org/wiki/Elk_County,_Pennsylvania" xr:uid="{0C24FD8B-6DB8-4247-A169-3EBBCAA65130}"/>
    <hyperlink ref="A26" r:id="rId25" tooltip="Erie County, Pennsylvania" display="https://en.wikipedia.org/wiki/Erie_County,_Pennsylvania" xr:uid="{DCB53146-533E-EA49-9622-7FDE0865459C}"/>
    <hyperlink ref="A27" r:id="rId26" tooltip="Fayette County, Pennsylvania" display="https://en.wikipedia.org/wiki/Fayette_County,_Pennsylvania" xr:uid="{E928592C-E5EE-6D4A-BCA1-82F0E62090D0}"/>
    <hyperlink ref="A28" r:id="rId27" tooltip="Forest County, Pennsylvania" display="https://en.wikipedia.org/wiki/Forest_County,_Pennsylvania" xr:uid="{B5CE2293-61AB-4647-88EA-7C3681CD6258}"/>
    <hyperlink ref="A29" r:id="rId28" tooltip="Franklin County, Pennsylvania" display="https://en.wikipedia.org/wiki/Franklin_County,_Pennsylvania" xr:uid="{5004DB38-6019-D94E-913B-3CB5EE850263}"/>
    <hyperlink ref="A30" r:id="rId29" tooltip="Fulton County, Pennsylvania" display="https://en.wikipedia.org/wiki/Fulton_County,_Pennsylvania" xr:uid="{FFCD83A8-2362-4744-8096-E0ED267DB1E8}"/>
    <hyperlink ref="A31" r:id="rId30" tooltip="Greene County, Pennsylvania" display="https://en.wikipedia.org/wiki/Greene_County,_Pennsylvania" xr:uid="{CE8CA99E-810A-EC4B-9A8A-BE27C967081D}"/>
    <hyperlink ref="A32" r:id="rId31" tooltip="Huntingdon County, Pennsylvania" display="https://en.wikipedia.org/wiki/Huntingdon_County,_Pennsylvania" xr:uid="{C89891C8-3C59-D240-96C8-8CB3BA5D5E91}"/>
    <hyperlink ref="A33" r:id="rId32" tooltip="Indiana County, Pennsylvania" display="https://en.wikipedia.org/wiki/Indiana_County,_Pennsylvania" xr:uid="{14DD0242-FD96-164D-94D6-5673CDA926EA}"/>
    <hyperlink ref="A34" r:id="rId33" tooltip="Jefferson County, Pennsylvania" display="https://en.wikipedia.org/wiki/Jefferson_County,_Pennsylvania" xr:uid="{0C882499-D4B7-4C4D-9997-A4BF92A7CEBA}"/>
    <hyperlink ref="A35" r:id="rId34" tooltip="Juniata County, Pennsylvania" display="https://en.wikipedia.org/wiki/Juniata_County,_Pennsylvania" xr:uid="{77959C88-8DE1-084F-9E6C-1D626ADA896A}"/>
    <hyperlink ref="A36" r:id="rId35" tooltip="Lackawanna County, Pennsylvania" display="https://en.wikipedia.org/wiki/Lackawanna_County,_Pennsylvania" xr:uid="{C1029903-4DDA-D644-9109-3AB794557C57}"/>
    <hyperlink ref="A37" r:id="rId36" tooltip="Lancaster County, Pennsylvania" display="https://en.wikipedia.org/wiki/Lancaster_County,_Pennsylvania" xr:uid="{E4D1AFF9-157E-7544-972A-585B844CAF10}"/>
    <hyperlink ref="A38" r:id="rId37" tooltip="Lawrence County, Pennsylvania" display="https://en.wikipedia.org/wiki/Lawrence_County,_Pennsylvania" xr:uid="{3F1275C0-8ABE-6740-ACDA-3529D7796B68}"/>
    <hyperlink ref="A39" r:id="rId38" tooltip="Lebanon County, Pennsylvania" display="https://en.wikipedia.org/wiki/Lebanon_County,_Pennsylvania" xr:uid="{7E3A0ADC-1FF7-8045-A75D-E2FE24D4E43F}"/>
    <hyperlink ref="A40" r:id="rId39" tooltip="Lehigh County, Pennsylvania" display="https://en.wikipedia.org/wiki/Lehigh_County,_Pennsylvania" xr:uid="{4590CAF6-85F0-F64C-B569-BF931E82888A}"/>
    <hyperlink ref="A41" r:id="rId40" tooltip="Luzerne County, Pennsylvania" display="https://en.wikipedia.org/wiki/Luzerne_County,_Pennsylvania" xr:uid="{1023CCD4-4D21-C94A-A916-220071EA1E9D}"/>
    <hyperlink ref="A42" r:id="rId41" tooltip="Lycoming County, Pennsylvania" display="https://en.wikipedia.org/wiki/Lycoming_County,_Pennsylvania" xr:uid="{C6BF5FA2-25DA-CF45-9DDB-8F3A9BB4BD9A}"/>
    <hyperlink ref="A43" r:id="rId42" tooltip="McKean County, Pennsylvania" display="https://en.wikipedia.org/wiki/McKean_County,_Pennsylvania" xr:uid="{3C1B8EB7-A4B0-5241-91FA-3DC1A4222278}"/>
    <hyperlink ref="A44" r:id="rId43" tooltip="Mercer County, Pennsylvania" display="https://en.wikipedia.org/wiki/Mercer_County,_Pennsylvania" xr:uid="{97455BC0-9A4B-5C45-BB23-01381441248C}"/>
    <hyperlink ref="A45" r:id="rId44" tooltip="Mifflin County, Pennsylvania" display="https://en.wikipedia.org/wiki/Mifflin_County,_Pennsylvania" xr:uid="{D897A874-7CA8-824F-BB2D-E504822B88F8}"/>
    <hyperlink ref="A46" r:id="rId45" tooltip="Monroe County, Pennsylvania" display="https://en.wikipedia.org/wiki/Monroe_County,_Pennsylvania" xr:uid="{D6E11CDC-E877-DC45-B969-B4310B2683C5}"/>
    <hyperlink ref="A47" r:id="rId46" tooltip="Montgomery County, Pennsylvania" display="https://en.wikipedia.org/wiki/Montgomery_County,_Pennsylvania" xr:uid="{15546117-D55F-5D42-B05F-990252C1D6A7}"/>
    <hyperlink ref="A48" r:id="rId47" tooltip="Montour County, Pennsylvania" display="https://en.wikipedia.org/wiki/Montour_County,_Pennsylvania" xr:uid="{604412E6-4BC8-6A48-B182-73571274C8D3}"/>
    <hyperlink ref="A49" r:id="rId48" tooltip="Northampton County, Pennsylvania" display="https://en.wikipedia.org/wiki/Northampton_County,_Pennsylvania" xr:uid="{AC5E931B-1BE0-8649-8EEE-51CFE998D049}"/>
    <hyperlink ref="A50" r:id="rId49" tooltip="Northumberland County, Pennsylvania" display="https://en.wikipedia.org/wiki/Northumberland_County,_Pennsylvania" xr:uid="{C5E18523-DD5F-AE48-8E91-CC4E3690DA1D}"/>
    <hyperlink ref="A51" r:id="rId50" tooltip="Perry County, Pennsylvania" display="https://en.wikipedia.org/wiki/Perry_County,_Pennsylvania" xr:uid="{FE0F1D5F-F8DC-9040-AF6F-F6967FAC73B3}"/>
    <hyperlink ref="A52" r:id="rId51" tooltip="Philadelphia County, Pennsylvania" display="https://en.wikipedia.org/wiki/Philadelphia_County,_Pennsylvania" xr:uid="{FD76BE29-15BE-1B4C-8356-5B6F0BC9B6E2}"/>
    <hyperlink ref="A53" r:id="rId52" tooltip="Pike County, Pennsylvania" display="https://en.wikipedia.org/wiki/Pike_County,_Pennsylvania" xr:uid="{5411EFAC-072B-554E-B735-ABA0607E7D0A}"/>
    <hyperlink ref="A54" r:id="rId53" tooltip="Potter County, Pennsylvania" display="https://en.wikipedia.org/wiki/Potter_County,_Pennsylvania" xr:uid="{CE1D1B51-D13C-9C4B-BE11-267392FB0A79}"/>
    <hyperlink ref="A55" r:id="rId54" tooltip="Schuylkill County, Pennsylvania" display="https://en.wikipedia.org/wiki/Schuylkill_County,_Pennsylvania" xr:uid="{4847134A-3504-6E48-B32F-DBE0CD103A65}"/>
    <hyperlink ref="A56" r:id="rId55" tooltip="Snyder County, Pennsylvania" display="https://en.wikipedia.org/wiki/Snyder_County,_Pennsylvania" xr:uid="{CD0C5217-2E56-1F49-B70F-4E5CBFE6F7D6}"/>
    <hyperlink ref="A57" r:id="rId56" tooltip="Somerset County, Pennsylvania" display="https://en.wikipedia.org/wiki/Somerset_County,_Pennsylvania" xr:uid="{2D24539E-3E52-2C4B-8968-61CB83A8C916}"/>
    <hyperlink ref="A58" r:id="rId57" tooltip="Sullivan County, Pennsylvania" display="https://en.wikipedia.org/wiki/Sullivan_County,_Pennsylvania" xr:uid="{9388C7FE-5E75-1B4A-8D8D-A04DE7F0B002}"/>
    <hyperlink ref="A59" r:id="rId58" tooltip="Susquehanna County, Pennsylvania" display="https://en.wikipedia.org/wiki/Susquehanna_County,_Pennsylvania" xr:uid="{5196CF11-6214-184B-9228-48CCA4AEC2E0}"/>
    <hyperlink ref="A60" r:id="rId59" tooltip="Tioga County, Pennsylvania" display="https://en.wikipedia.org/wiki/Tioga_County,_Pennsylvania" xr:uid="{B11A43AB-D6D0-8149-8373-7762A1764FDE}"/>
    <hyperlink ref="A61" r:id="rId60" tooltip="Union County, Pennsylvania" display="https://en.wikipedia.org/wiki/Union_County,_Pennsylvania" xr:uid="{658406E4-5130-6F41-ABCA-E851FA15817F}"/>
    <hyperlink ref="A62" r:id="rId61" tooltip="Venango County, Pennsylvania" display="https://en.wikipedia.org/wiki/Venango_County,_Pennsylvania" xr:uid="{F929096C-4525-E247-8518-AC40DE8EEC63}"/>
    <hyperlink ref="A63" r:id="rId62" tooltip="Warren County, Pennsylvania" display="https://en.wikipedia.org/wiki/Warren_County,_Pennsylvania" xr:uid="{C3B1C813-D57B-4B41-BC79-0E5A7454D448}"/>
    <hyperlink ref="A64" r:id="rId63" tooltip="Washington County, Pennsylvania" display="https://en.wikipedia.org/wiki/Washington_County,_Pennsylvania" xr:uid="{9A2CD422-ADA7-FE41-8EFB-6E8C21E95F03}"/>
    <hyperlink ref="A65" r:id="rId64" tooltip="Wayne County, Pennsylvania" display="https://en.wikipedia.org/wiki/Wayne_County,_Pennsylvania" xr:uid="{28EA1CBF-C645-B341-AF00-B898240EC340}"/>
    <hyperlink ref="A66" r:id="rId65" tooltip="Westmoreland County, Pennsylvania" display="https://en.wikipedia.org/wiki/Westmoreland_County,_Pennsylvania" xr:uid="{F508AAA7-F53F-6744-AA09-3418DD3492FA}"/>
    <hyperlink ref="A67" r:id="rId66" tooltip="Wyoming County, Pennsylvania" display="https://en.wikipedia.org/wiki/Wyoming_County,_Pennsylvania" xr:uid="{01B03847-6E99-4F44-B297-31D775D00BB5}"/>
    <hyperlink ref="A68" r:id="rId67" tooltip="York County, Pennsylvania" display="https://en.wikipedia.org/wiki/York_County,_Pennsylvania" xr:uid="{71720CF6-2DE1-4A4F-A2EE-EB4D247581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4694-ACF1-9545-924D-D0E59E4BC012}">
  <dimension ref="A2:E68"/>
  <sheetViews>
    <sheetView workbookViewId="0">
      <selection activeCell="D2" sqref="D2:D68"/>
    </sheetView>
  </sheetViews>
  <sheetFormatPr baseColWidth="10" defaultRowHeight="16" x14ac:dyDescent="0.2"/>
  <sheetData>
    <row r="2" spans="1:5" ht="18" x14ac:dyDescent="0.2">
      <c r="A2" s="1" t="s">
        <v>0</v>
      </c>
      <c r="B2" s="5">
        <v>0.32129999999999997</v>
      </c>
      <c r="C2" s="5">
        <v>0.6613</v>
      </c>
      <c r="D2" s="6" t="s">
        <v>71</v>
      </c>
      <c r="E2" s="4">
        <v>56809</v>
      </c>
    </row>
    <row r="3" spans="1:5" ht="18" x14ac:dyDescent="0.2">
      <c r="A3" s="1" t="s">
        <v>1</v>
      </c>
      <c r="B3" s="5">
        <v>0.59430000000000005</v>
      </c>
      <c r="C3" s="5">
        <v>0.39029999999999998</v>
      </c>
      <c r="D3" s="5">
        <v>0.20399999999999999</v>
      </c>
      <c r="E3" s="4">
        <v>724800</v>
      </c>
    </row>
    <row r="4" spans="1:5" ht="18" x14ac:dyDescent="0.2">
      <c r="A4" s="1" t="s">
        <v>2</v>
      </c>
      <c r="B4" s="5">
        <v>0.23219999999999999</v>
      </c>
      <c r="C4" s="5">
        <v>0.75470000000000004</v>
      </c>
      <c r="D4" s="6" t="s">
        <v>72</v>
      </c>
      <c r="E4" s="4">
        <v>36426</v>
      </c>
    </row>
    <row r="5" spans="1:5" ht="18" x14ac:dyDescent="0.2">
      <c r="A5" s="1" t="s">
        <v>3</v>
      </c>
      <c r="B5" s="5">
        <v>0.40379999999999999</v>
      </c>
      <c r="C5" s="5">
        <v>0.58009999999999995</v>
      </c>
      <c r="D5" s="6" t="s">
        <v>73</v>
      </c>
      <c r="E5" s="4">
        <v>94397</v>
      </c>
    </row>
    <row r="6" spans="1:5" ht="18" x14ac:dyDescent="0.2">
      <c r="A6" s="1" t="s">
        <v>4</v>
      </c>
      <c r="B6" s="5">
        <v>0.15820000000000001</v>
      </c>
      <c r="C6" s="5">
        <v>0.83389999999999997</v>
      </c>
      <c r="D6" s="6" t="s">
        <v>74</v>
      </c>
      <c r="E6" s="4">
        <v>27610</v>
      </c>
    </row>
    <row r="7" spans="1:5" ht="18" x14ac:dyDescent="0.2">
      <c r="A7" s="1" t="s">
        <v>5</v>
      </c>
      <c r="B7" s="5">
        <v>0.45079999999999998</v>
      </c>
      <c r="C7" s="5">
        <v>0.53220000000000001</v>
      </c>
      <c r="D7" s="6" t="s">
        <v>75</v>
      </c>
      <c r="E7" s="4">
        <v>206553</v>
      </c>
    </row>
    <row r="8" spans="1:5" ht="18" x14ac:dyDescent="0.2">
      <c r="A8" s="1" t="s">
        <v>6</v>
      </c>
      <c r="B8" s="5">
        <v>0.2767</v>
      </c>
      <c r="C8" s="5">
        <v>0.7107</v>
      </c>
      <c r="D8" s="6" t="s">
        <v>76</v>
      </c>
      <c r="E8" s="4">
        <v>63748</v>
      </c>
    </row>
    <row r="9" spans="1:5" ht="18" x14ac:dyDescent="0.2">
      <c r="A9" s="1" t="s">
        <v>7</v>
      </c>
      <c r="B9" s="5">
        <v>0.2661</v>
      </c>
      <c r="C9" s="5">
        <v>0.71450000000000002</v>
      </c>
      <c r="D9" s="6" t="s">
        <v>77</v>
      </c>
      <c r="E9" s="4">
        <v>30232</v>
      </c>
    </row>
    <row r="10" spans="1:5" ht="18" x14ac:dyDescent="0.2">
      <c r="A10" s="1" t="s">
        <v>8</v>
      </c>
      <c r="B10" s="5">
        <v>0.51529999999999998</v>
      </c>
      <c r="C10" s="5">
        <v>0.47160000000000002</v>
      </c>
      <c r="D10" s="5">
        <v>4.3700000000000003E-2</v>
      </c>
      <c r="E10" s="4">
        <v>397291</v>
      </c>
    </row>
    <row r="11" spans="1:5" ht="18" x14ac:dyDescent="0.2">
      <c r="A11" s="1" t="s">
        <v>9</v>
      </c>
      <c r="B11" s="5">
        <v>0.33</v>
      </c>
      <c r="C11" s="5">
        <v>0.6542</v>
      </c>
      <c r="D11" s="6" t="s">
        <v>78</v>
      </c>
      <c r="E11" s="4">
        <v>113663</v>
      </c>
    </row>
    <row r="12" spans="1:5" ht="18" x14ac:dyDescent="0.2">
      <c r="A12" s="1" t="s">
        <v>10</v>
      </c>
      <c r="B12" s="5">
        <v>0.30709999999999998</v>
      </c>
      <c r="C12" s="5">
        <v>0.67959999999999998</v>
      </c>
      <c r="D12" s="6" t="s">
        <v>79</v>
      </c>
      <c r="E12" s="4">
        <v>70751</v>
      </c>
    </row>
    <row r="13" spans="1:5" ht="18" x14ac:dyDescent="0.2">
      <c r="A13" s="1" t="s">
        <v>11</v>
      </c>
      <c r="B13" s="5">
        <v>0.25979999999999998</v>
      </c>
      <c r="C13" s="5">
        <v>0.7258</v>
      </c>
      <c r="D13" s="6" t="s">
        <v>80</v>
      </c>
      <c r="E13" s="4">
        <v>2440</v>
      </c>
    </row>
    <row r="14" spans="1:5" ht="18" x14ac:dyDescent="0.2">
      <c r="A14" s="1" t="s">
        <v>12</v>
      </c>
      <c r="B14" s="5">
        <v>0.33279999999999998</v>
      </c>
      <c r="C14" s="5">
        <v>0.65259999999999996</v>
      </c>
      <c r="D14" s="6" t="s">
        <v>81</v>
      </c>
      <c r="E14" s="4">
        <v>33689</v>
      </c>
    </row>
    <row r="15" spans="1:5" ht="18" x14ac:dyDescent="0.2">
      <c r="A15" s="1" t="s">
        <v>13</v>
      </c>
      <c r="B15" s="5">
        <v>0.51419999999999999</v>
      </c>
      <c r="C15" s="5">
        <v>0.46700000000000003</v>
      </c>
      <c r="D15" s="5">
        <v>4.7199999999999999E-2</v>
      </c>
      <c r="E15" s="4">
        <v>77891</v>
      </c>
    </row>
    <row r="16" spans="1:5" ht="18" x14ac:dyDescent="0.2">
      <c r="A16" s="1" t="s">
        <v>14</v>
      </c>
      <c r="B16" s="5">
        <v>0.5776</v>
      </c>
      <c r="C16" s="5">
        <v>0.40720000000000001</v>
      </c>
      <c r="D16" s="5">
        <v>0.1704</v>
      </c>
      <c r="E16" s="4">
        <v>315753</v>
      </c>
    </row>
    <row r="17" spans="1:5" ht="18" x14ac:dyDescent="0.2">
      <c r="A17" s="1" t="s">
        <v>15</v>
      </c>
      <c r="B17" s="5">
        <v>0.23960000000000001</v>
      </c>
      <c r="C17" s="5">
        <v>0.74670000000000003</v>
      </c>
      <c r="D17" s="6" t="s">
        <v>82</v>
      </c>
      <c r="E17" s="4">
        <v>19524</v>
      </c>
    </row>
    <row r="18" spans="1:5" ht="18" x14ac:dyDescent="0.2">
      <c r="A18" s="1" t="s">
        <v>16</v>
      </c>
      <c r="B18" s="5">
        <v>0.24490000000000001</v>
      </c>
      <c r="C18" s="5">
        <v>0.73939999999999995</v>
      </c>
      <c r="D18" s="6" t="s">
        <v>83</v>
      </c>
      <c r="E18" s="4">
        <v>39496</v>
      </c>
    </row>
    <row r="19" spans="1:5" ht="18" x14ac:dyDescent="0.2">
      <c r="A19" s="1" t="s">
        <v>17</v>
      </c>
      <c r="B19" s="5">
        <v>0.3115</v>
      </c>
      <c r="C19" s="5">
        <v>0.67390000000000005</v>
      </c>
      <c r="D19" s="6" t="s">
        <v>84</v>
      </c>
      <c r="E19" s="4">
        <v>17661</v>
      </c>
    </row>
    <row r="20" spans="1:5" ht="18" x14ac:dyDescent="0.2">
      <c r="A20" s="1" t="s">
        <v>18</v>
      </c>
      <c r="B20" s="5">
        <v>0.3367</v>
      </c>
      <c r="C20" s="5">
        <v>0.64249999999999996</v>
      </c>
      <c r="D20" s="6" t="s">
        <v>85</v>
      </c>
      <c r="E20" s="4">
        <v>31280</v>
      </c>
    </row>
    <row r="21" spans="1:5" ht="18" x14ac:dyDescent="0.2">
      <c r="A21" s="1" t="s">
        <v>19</v>
      </c>
      <c r="B21" s="5">
        <v>0.30690000000000001</v>
      </c>
      <c r="C21" s="5">
        <v>0.67820000000000003</v>
      </c>
      <c r="D21" s="6" t="s">
        <v>86</v>
      </c>
      <c r="E21" s="4">
        <v>42114</v>
      </c>
    </row>
    <row r="22" spans="1:5" ht="18" x14ac:dyDescent="0.2">
      <c r="A22" s="1" t="s">
        <v>20</v>
      </c>
      <c r="B22" s="5">
        <v>0.43780000000000002</v>
      </c>
      <c r="C22" s="5">
        <v>0.54300000000000004</v>
      </c>
      <c r="D22" s="6" t="s">
        <v>87</v>
      </c>
      <c r="E22" s="4">
        <v>142187</v>
      </c>
    </row>
    <row r="23" spans="1:5" ht="18" x14ac:dyDescent="0.2">
      <c r="A23" s="1" t="s">
        <v>21</v>
      </c>
      <c r="B23" s="5">
        <v>0.53400000000000003</v>
      </c>
      <c r="C23" s="5">
        <v>0.44900000000000001</v>
      </c>
      <c r="D23" s="5">
        <v>8.5000000000000006E-2</v>
      </c>
      <c r="E23" s="4">
        <v>147901</v>
      </c>
    </row>
    <row r="24" spans="1:5" ht="18" x14ac:dyDescent="0.2">
      <c r="A24" s="1" t="s">
        <v>22</v>
      </c>
      <c r="B24" s="5">
        <v>0.62749999999999995</v>
      </c>
      <c r="C24" s="5">
        <v>0.36020000000000002</v>
      </c>
      <c r="D24" s="5">
        <v>0.26729999999999998</v>
      </c>
      <c r="E24" s="4">
        <v>329404</v>
      </c>
    </row>
    <row r="25" spans="1:5" ht="18" x14ac:dyDescent="0.2">
      <c r="A25" s="1" t="s">
        <v>23</v>
      </c>
      <c r="B25" s="5">
        <v>0.26679999999999998</v>
      </c>
      <c r="C25" s="5">
        <v>0.71640000000000004</v>
      </c>
      <c r="D25" s="6" t="s">
        <v>88</v>
      </c>
      <c r="E25" s="4">
        <v>16946</v>
      </c>
    </row>
    <row r="26" spans="1:5" ht="18" x14ac:dyDescent="0.2">
      <c r="A26" s="1" t="s">
        <v>24</v>
      </c>
      <c r="B26" s="5">
        <v>0.49659999999999999</v>
      </c>
      <c r="C26" s="5">
        <v>0.48630000000000001</v>
      </c>
      <c r="D26" s="5">
        <v>1.03E-2</v>
      </c>
      <c r="E26" s="4">
        <v>137494</v>
      </c>
    </row>
    <row r="27" spans="1:5" ht="18" x14ac:dyDescent="0.2">
      <c r="A27" s="1" t="s">
        <v>25</v>
      </c>
      <c r="B27" s="5">
        <v>0.32869999999999999</v>
      </c>
      <c r="C27" s="5">
        <v>0.66239999999999999</v>
      </c>
      <c r="D27" s="6" t="s">
        <v>89</v>
      </c>
      <c r="E27" s="4">
        <v>62279</v>
      </c>
    </row>
    <row r="28" spans="1:5" ht="18" x14ac:dyDescent="0.2">
      <c r="A28" s="1" t="s">
        <v>26</v>
      </c>
      <c r="B28" s="5">
        <v>0.27429999999999999</v>
      </c>
      <c r="C28" s="5">
        <v>0.70909999999999995</v>
      </c>
      <c r="D28" s="6" t="s">
        <v>90</v>
      </c>
      <c r="E28" s="4">
        <v>2654</v>
      </c>
    </row>
    <row r="29" spans="1:5" ht="18" x14ac:dyDescent="0.2">
      <c r="A29" s="1" t="s">
        <v>27</v>
      </c>
      <c r="B29" s="5">
        <v>0.2767</v>
      </c>
      <c r="C29" s="5">
        <v>0.70650000000000002</v>
      </c>
      <c r="D29" s="6" t="s">
        <v>91</v>
      </c>
      <c r="E29" s="4">
        <v>81025</v>
      </c>
    </row>
    <row r="30" spans="1:5" ht="18" x14ac:dyDescent="0.2">
      <c r="A30" s="1" t="s">
        <v>28</v>
      </c>
      <c r="B30" s="5">
        <v>0.1358</v>
      </c>
      <c r="C30" s="5">
        <v>0.85409999999999997</v>
      </c>
      <c r="D30" s="6" t="s">
        <v>92</v>
      </c>
      <c r="E30" s="4">
        <v>7990</v>
      </c>
    </row>
    <row r="31" spans="1:5" ht="18" x14ac:dyDescent="0.2">
      <c r="A31" s="1" t="s">
        <v>29</v>
      </c>
      <c r="B31" s="5">
        <v>0.27750000000000002</v>
      </c>
      <c r="C31" s="5">
        <v>0.71079999999999999</v>
      </c>
      <c r="D31" s="6" t="s">
        <v>93</v>
      </c>
      <c r="E31" s="4">
        <v>17697</v>
      </c>
    </row>
    <row r="32" spans="1:5" ht="18" x14ac:dyDescent="0.2">
      <c r="A32" s="1" t="s">
        <v>30</v>
      </c>
      <c r="B32" s="5">
        <v>0.2384</v>
      </c>
      <c r="C32" s="5">
        <v>0.74690000000000001</v>
      </c>
      <c r="D32" s="6" t="s">
        <v>94</v>
      </c>
      <c r="E32" s="4">
        <v>22843</v>
      </c>
    </row>
    <row r="33" spans="1:5" ht="18" x14ac:dyDescent="0.2">
      <c r="A33" s="1" t="s">
        <v>31</v>
      </c>
      <c r="B33" s="5">
        <v>0.30599999999999999</v>
      </c>
      <c r="C33" s="5">
        <v>0.68030000000000002</v>
      </c>
      <c r="D33" s="6" t="s">
        <v>95</v>
      </c>
      <c r="E33" s="4">
        <v>41289</v>
      </c>
    </row>
    <row r="34" spans="1:5" ht="18" x14ac:dyDescent="0.2">
      <c r="A34" s="1" t="s">
        <v>32</v>
      </c>
      <c r="B34" s="5">
        <v>0.19800000000000001</v>
      </c>
      <c r="C34" s="5">
        <v>0.78539999999999999</v>
      </c>
      <c r="D34" s="6" t="s">
        <v>96</v>
      </c>
      <c r="E34" s="4">
        <v>22872</v>
      </c>
    </row>
    <row r="35" spans="1:5" ht="18" x14ac:dyDescent="0.2">
      <c r="A35" s="1" t="s">
        <v>33</v>
      </c>
      <c r="B35" s="5">
        <v>0.18659999999999999</v>
      </c>
      <c r="C35" s="5">
        <v>0.79930000000000001</v>
      </c>
      <c r="D35" s="6" t="s">
        <v>97</v>
      </c>
      <c r="E35" s="4">
        <v>12072</v>
      </c>
    </row>
    <row r="36" spans="1:5" ht="18" x14ac:dyDescent="0.2">
      <c r="A36" s="1" t="s">
        <v>34</v>
      </c>
      <c r="B36" s="5">
        <v>0.53580000000000005</v>
      </c>
      <c r="C36" s="5">
        <v>0.45229999999999998</v>
      </c>
      <c r="D36" s="5">
        <v>8.3500000000000005E-2</v>
      </c>
      <c r="E36" s="4">
        <v>115695</v>
      </c>
    </row>
    <row r="37" spans="1:5" ht="18" x14ac:dyDescent="0.2">
      <c r="A37" s="1" t="s">
        <v>35</v>
      </c>
      <c r="B37" s="5">
        <v>0.41170000000000001</v>
      </c>
      <c r="C37" s="5">
        <v>0.56940000000000002</v>
      </c>
      <c r="D37" s="6" t="s">
        <v>98</v>
      </c>
      <c r="E37" s="4">
        <v>281375</v>
      </c>
    </row>
    <row r="38" spans="1:5" ht="18" x14ac:dyDescent="0.2">
      <c r="A38" s="1" t="s">
        <v>36</v>
      </c>
      <c r="B38" s="5">
        <v>0.34589999999999999</v>
      </c>
      <c r="C38" s="5">
        <v>0.64080000000000004</v>
      </c>
      <c r="D38" s="6" t="s">
        <v>99</v>
      </c>
      <c r="E38" s="4">
        <v>46187</v>
      </c>
    </row>
    <row r="39" spans="1:5" ht="18" x14ac:dyDescent="0.2">
      <c r="A39" s="1" t="s">
        <v>37</v>
      </c>
      <c r="B39" s="5">
        <v>0.33300000000000002</v>
      </c>
      <c r="C39" s="5">
        <v>0.65029999999999999</v>
      </c>
      <c r="D39" s="6" t="s">
        <v>100</v>
      </c>
      <c r="E39" s="4">
        <v>71858</v>
      </c>
    </row>
    <row r="40" spans="1:5" ht="18" x14ac:dyDescent="0.2">
      <c r="A40" s="1" t="s">
        <v>38</v>
      </c>
      <c r="B40" s="5">
        <v>0.53210000000000002</v>
      </c>
      <c r="C40" s="5">
        <v>0.45469999999999999</v>
      </c>
      <c r="D40" s="5">
        <v>7.5800000000000006E-2</v>
      </c>
      <c r="E40" s="4">
        <v>185655</v>
      </c>
    </row>
    <row r="41" spans="1:5" ht="18" x14ac:dyDescent="0.2">
      <c r="A41" s="1" t="s">
        <v>39</v>
      </c>
      <c r="B41" s="5">
        <v>0.42259999999999998</v>
      </c>
      <c r="C41" s="5">
        <v>0.56630000000000003</v>
      </c>
      <c r="D41" s="6" t="s">
        <v>101</v>
      </c>
      <c r="E41" s="4">
        <v>153499</v>
      </c>
    </row>
    <row r="42" spans="1:5" ht="18" x14ac:dyDescent="0.2">
      <c r="A42" s="1" t="s">
        <v>40</v>
      </c>
      <c r="B42" s="5">
        <v>0.28570000000000001</v>
      </c>
      <c r="C42" s="5">
        <v>0.69799999999999995</v>
      </c>
      <c r="D42" s="6" t="s">
        <v>102</v>
      </c>
      <c r="E42" s="4">
        <v>59397</v>
      </c>
    </row>
    <row r="43" spans="1:5" ht="18" x14ac:dyDescent="0.2">
      <c r="A43" s="1" t="s">
        <v>41</v>
      </c>
      <c r="B43" s="5">
        <v>0.26129999999999998</v>
      </c>
      <c r="C43" s="5">
        <v>0.7218</v>
      </c>
      <c r="D43" s="6" t="s">
        <v>103</v>
      </c>
      <c r="E43" s="4">
        <v>19510</v>
      </c>
    </row>
    <row r="44" spans="1:5" ht="18" x14ac:dyDescent="0.2">
      <c r="A44" s="1" t="s">
        <v>42</v>
      </c>
      <c r="B44" s="5">
        <v>0.36249999999999999</v>
      </c>
      <c r="C44" s="5">
        <v>0.62190000000000001</v>
      </c>
      <c r="D44" s="6" t="s">
        <v>104</v>
      </c>
      <c r="E44" s="4">
        <v>58117</v>
      </c>
    </row>
    <row r="45" spans="1:5" ht="18" x14ac:dyDescent="0.2">
      <c r="A45" s="1" t="s">
        <v>43</v>
      </c>
      <c r="B45" s="5">
        <v>0.21360000000000001</v>
      </c>
      <c r="C45" s="5">
        <v>0.77370000000000005</v>
      </c>
      <c r="D45" s="6" t="s">
        <v>105</v>
      </c>
      <c r="E45" s="4">
        <v>21547</v>
      </c>
    </row>
    <row r="46" spans="1:5" ht="18" x14ac:dyDescent="0.2">
      <c r="A46" s="1" t="s">
        <v>44</v>
      </c>
      <c r="B46" s="5">
        <v>0.52429999999999999</v>
      </c>
      <c r="C46" s="5">
        <v>0.46079999999999999</v>
      </c>
      <c r="D46" s="5">
        <v>6.3500000000000001E-2</v>
      </c>
      <c r="E46" s="4">
        <v>84034</v>
      </c>
    </row>
    <row r="47" spans="1:5" ht="18" x14ac:dyDescent="0.2">
      <c r="A47" s="1" t="s">
        <v>45</v>
      </c>
      <c r="B47" s="5">
        <v>0.62409999999999999</v>
      </c>
      <c r="C47" s="5">
        <v>0.36230000000000001</v>
      </c>
      <c r="D47" s="5">
        <v>0.26179999999999998</v>
      </c>
      <c r="E47" s="4">
        <v>511920</v>
      </c>
    </row>
    <row r="48" spans="1:5" ht="18" x14ac:dyDescent="0.2">
      <c r="A48" s="1" t="s">
        <v>46</v>
      </c>
      <c r="B48" s="5">
        <v>0.3841</v>
      </c>
      <c r="C48" s="5">
        <v>0.59530000000000005</v>
      </c>
      <c r="D48" s="6" t="s">
        <v>106</v>
      </c>
      <c r="E48" s="4">
        <v>9817</v>
      </c>
    </row>
    <row r="49" spans="1:5" ht="18" x14ac:dyDescent="0.2">
      <c r="A49" s="1" t="s">
        <v>47</v>
      </c>
      <c r="B49" s="5">
        <v>0.49640000000000001</v>
      </c>
      <c r="C49" s="5">
        <v>0.48920000000000002</v>
      </c>
      <c r="D49" s="5">
        <v>7.1999999999999998E-3</v>
      </c>
      <c r="E49" s="4">
        <v>171399</v>
      </c>
    </row>
    <row r="50" spans="1:5" ht="18" x14ac:dyDescent="0.2">
      <c r="A50" s="1" t="s">
        <v>48</v>
      </c>
      <c r="B50" s="5">
        <v>0.2994</v>
      </c>
      <c r="C50" s="5">
        <v>0.68279999999999996</v>
      </c>
      <c r="D50" s="6" t="s">
        <v>107</v>
      </c>
      <c r="E50" s="4">
        <v>42435</v>
      </c>
    </row>
    <row r="51" spans="1:5" ht="18" x14ac:dyDescent="0.2">
      <c r="A51" s="1" t="s">
        <v>49</v>
      </c>
      <c r="B51" s="5">
        <v>0.24060000000000001</v>
      </c>
      <c r="C51" s="5">
        <v>0.73980000000000001</v>
      </c>
      <c r="D51" s="6" t="s">
        <v>108</v>
      </c>
      <c r="E51" s="4">
        <v>24728</v>
      </c>
    </row>
    <row r="52" spans="1:5" ht="18" x14ac:dyDescent="0.2">
      <c r="A52" s="1" t="s">
        <v>50</v>
      </c>
      <c r="B52" s="5">
        <v>0.81210000000000004</v>
      </c>
      <c r="C52" s="5">
        <v>0.17860000000000001</v>
      </c>
      <c r="D52" s="5">
        <v>0.63349999999999995</v>
      </c>
      <c r="E52" s="4">
        <v>743966</v>
      </c>
    </row>
    <row r="53" spans="1:5" ht="18" x14ac:dyDescent="0.2">
      <c r="A53" s="1" t="s">
        <v>51</v>
      </c>
      <c r="B53" s="5">
        <v>0.4002</v>
      </c>
      <c r="C53" s="5">
        <v>0.58989999999999998</v>
      </c>
      <c r="D53" s="6" t="s">
        <v>109</v>
      </c>
      <c r="E53" s="4">
        <v>32616</v>
      </c>
    </row>
    <row r="54" spans="1:5" ht="18" x14ac:dyDescent="0.2">
      <c r="A54" s="1" t="s">
        <v>52</v>
      </c>
      <c r="B54" s="5">
        <v>0.19</v>
      </c>
      <c r="C54" s="5">
        <v>0.79679999999999995</v>
      </c>
      <c r="D54" s="6" t="s">
        <v>110</v>
      </c>
      <c r="E54" s="4">
        <v>9085</v>
      </c>
    </row>
    <row r="55" spans="1:5" ht="18" x14ac:dyDescent="0.2">
      <c r="A55" s="1" t="s">
        <v>53</v>
      </c>
      <c r="B55" s="5">
        <v>0.29289999999999999</v>
      </c>
      <c r="C55" s="5">
        <v>0.69069999999999998</v>
      </c>
      <c r="D55" s="6" t="s">
        <v>111</v>
      </c>
      <c r="E55" s="4">
        <v>70755</v>
      </c>
    </row>
    <row r="56" spans="1:5" ht="18" x14ac:dyDescent="0.2">
      <c r="A56" s="1" t="s">
        <v>54</v>
      </c>
      <c r="B56" s="5">
        <v>0.25600000000000001</v>
      </c>
      <c r="C56" s="5">
        <v>0.72899999999999998</v>
      </c>
      <c r="D56" s="6" t="s">
        <v>112</v>
      </c>
      <c r="E56" s="4">
        <v>19181</v>
      </c>
    </row>
    <row r="57" spans="1:5" ht="18" x14ac:dyDescent="0.2">
      <c r="A57" s="1" t="s">
        <v>55</v>
      </c>
      <c r="B57" s="5">
        <v>0.21299999999999999</v>
      </c>
      <c r="C57" s="5">
        <v>0.77449999999999997</v>
      </c>
      <c r="D57" s="6" t="s">
        <v>113</v>
      </c>
      <c r="E57" s="4">
        <v>40626</v>
      </c>
    </row>
    <row r="58" spans="1:5" ht="18" x14ac:dyDescent="0.2">
      <c r="A58" s="1" t="s">
        <v>56</v>
      </c>
      <c r="B58" s="5">
        <v>0.25600000000000001</v>
      </c>
      <c r="C58" s="5">
        <v>0.72789999999999999</v>
      </c>
      <c r="D58" s="6" t="s">
        <v>114</v>
      </c>
      <c r="E58" s="4">
        <v>3598</v>
      </c>
    </row>
    <row r="59" spans="1:5" ht="18" x14ac:dyDescent="0.2">
      <c r="A59" s="1" t="s">
        <v>57</v>
      </c>
      <c r="B59" s="5">
        <v>0.28589999999999999</v>
      </c>
      <c r="C59" s="5">
        <v>0.69720000000000004</v>
      </c>
      <c r="D59" s="6" t="s">
        <v>115</v>
      </c>
      <c r="E59" s="4">
        <v>21813</v>
      </c>
    </row>
    <row r="60" spans="1:5" ht="18" x14ac:dyDescent="0.2">
      <c r="A60" s="1" t="s">
        <v>58</v>
      </c>
      <c r="B60" s="5">
        <v>0.23449999999999999</v>
      </c>
      <c r="C60" s="5">
        <v>0.74509999999999998</v>
      </c>
      <c r="D60" s="6" t="s">
        <v>116</v>
      </c>
      <c r="E60" s="4">
        <v>21126</v>
      </c>
    </row>
    <row r="61" spans="1:5" ht="18" x14ac:dyDescent="0.2">
      <c r="A61" s="1" t="s">
        <v>59</v>
      </c>
      <c r="B61" s="5">
        <v>0.37019999999999997</v>
      </c>
      <c r="C61" s="5">
        <v>0.6119</v>
      </c>
      <c r="D61" s="6" t="s">
        <v>117</v>
      </c>
      <c r="E61" s="4">
        <v>20192</v>
      </c>
    </row>
    <row r="62" spans="1:5" ht="18" x14ac:dyDescent="0.2">
      <c r="A62" s="1" t="s">
        <v>60</v>
      </c>
      <c r="B62" s="5">
        <v>0.28510000000000002</v>
      </c>
      <c r="C62" s="5">
        <v>0.69810000000000005</v>
      </c>
      <c r="D62" s="6" t="s">
        <v>118</v>
      </c>
      <c r="E62" s="4">
        <v>26601</v>
      </c>
    </row>
    <row r="63" spans="1:5" ht="18" x14ac:dyDescent="0.2">
      <c r="A63" s="1" t="s">
        <v>61</v>
      </c>
      <c r="B63" s="5">
        <v>0.29370000000000002</v>
      </c>
      <c r="C63" s="5">
        <v>0.68920000000000003</v>
      </c>
      <c r="D63" s="6" t="s">
        <v>119</v>
      </c>
      <c r="E63" s="4">
        <v>20657</v>
      </c>
    </row>
    <row r="64" spans="1:5" ht="18" x14ac:dyDescent="0.2">
      <c r="A64" s="1" t="s">
        <v>62</v>
      </c>
      <c r="B64" s="5">
        <v>0.37969999999999998</v>
      </c>
      <c r="C64" s="5">
        <v>0.60699999999999998</v>
      </c>
      <c r="D64" s="6" t="s">
        <v>120</v>
      </c>
      <c r="E64" s="4">
        <v>118756</v>
      </c>
    </row>
    <row r="65" spans="1:5" ht="18" x14ac:dyDescent="0.2">
      <c r="A65" s="1" t="s">
        <v>63</v>
      </c>
      <c r="B65" s="5">
        <v>0.32650000000000001</v>
      </c>
      <c r="C65" s="5">
        <v>0.66210000000000002</v>
      </c>
      <c r="D65" s="6" t="s">
        <v>121</v>
      </c>
      <c r="E65" s="4">
        <v>28147</v>
      </c>
    </row>
    <row r="66" spans="1:5" ht="18" x14ac:dyDescent="0.2">
      <c r="A66" s="1" t="s">
        <v>64</v>
      </c>
      <c r="B66" s="5">
        <v>0.35160000000000002</v>
      </c>
      <c r="C66" s="5">
        <v>0.63460000000000005</v>
      </c>
      <c r="D66" s="6" t="s">
        <v>122</v>
      </c>
      <c r="E66" s="4">
        <v>205330</v>
      </c>
    </row>
    <row r="67" spans="1:5" ht="18" x14ac:dyDescent="0.2">
      <c r="A67" s="1" t="s">
        <v>65</v>
      </c>
      <c r="B67" s="5">
        <v>0.31569999999999998</v>
      </c>
      <c r="C67" s="5">
        <v>0.66679999999999995</v>
      </c>
      <c r="D67" s="6" t="s">
        <v>123</v>
      </c>
      <c r="E67" s="4">
        <v>14900</v>
      </c>
    </row>
    <row r="68" spans="1:5" ht="18" x14ac:dyDescent="0.2">
      <c r="A68" s="1" t="s">
        <v>66</v>
      </c>
      <c r="B68" s="5">
        <v>0.36849999999999999</v>
      </c>
      <c r="C68" s="5">
        <v>0.61360000000000003</v>
      </c>
      <c r="D68" s="6" t="s">
        <v>124</v>
      </c>
      <c r="E68" s="4">
        <v>239146</v>
      </c>
    </row>
  </sheetData>
  <hyperlinks>
    <hyperlink ref="A2" r:id="rId1" tooltip="Adams County, Pennsylvania" display="https://en.wikipedia.org/wiki/Adams_County,_Pennsylvania" xr:uid="{50FA4CA8-268F-1546-9020-F88FEE6C2D91}"/>
    <hyperlink ref="A3" r:id="rId2" tooltip="Allegheny County, Pennsylvania" display="https://en.wikipedia.org/wiki/Allegheny_County,_Pennsylvania" xr:uid="{A7A319E3-24BD-7B47-B942-1948D18AE7C4}"/>
    <hyperlink ref="A4" r:id="rId3" tooltip="Armstrong County, Pennsylvania" display="https://en.wikipedia.org/wiki/Armstrong_County,_Pennsylvania" xr:uid="{8BDE8CFE-DA5B-D345-9B06-A4BF407CD5CB}"/>
    <hyperlink ref="A5" r:id="rId4" tooltip="Beaver County, Pennsylvania" display="https://en.wikipedia.org/wiki/Beaver_County,_Pennsylvania" xr:uid="{C2868590-3F91-0C46-B90D-D25117DF3888}"/>
    <hyperlink ref="A6" r:id="rId5" tooltip="Bedford County, Pennsylvania" display="https://en.wikipedia.org/wiki/Bedford_County,_Pennsylvania" xr:uid="{D7B3F80C-8BC9-CE4D-9C43-69F7786A67EF}"/>
    <hyperlink ref="A7" r:id="rId6" tooltip="Berks County, Pennsylvania" display="https://en.wikipedia.org/wiki/Berks_County,_Pennsylvania" xr:uid="{4DAB00AC-12B8-2643-95BB-9EBB546053A6}"/>
    <hyperlink ref="A8" r:id="rId7" tooltip="Blair County, Pennsylvania" display="https://en.wikipedia.org/wiki/Blair_County,_Pennsylvania" xr:uid="{3C29FB02-E636-0B43-A6A6-77CF7B470604}"/>
    <hyperlink ref="A9" r:id="rId8" tooltip="Bradford County, Pennsylvania" display="https://en.wikipedia.org/wiki/Bradford_County,_Pennsylvania" xr:uid="{35F3F527-871C-8C47-8E4D-46CB53782964}"/>
    <hyperlink ref="A10" r:id="rId9" tooltip="Bucks County, Pennsylvania" display="https://en.wikipedia.org/wiki/Bucks_County,_Pennsylvania" xr:uid="{DBB8031E-2744-DC41-A47B-9A90D3A70A2D}"/>
    <hyperlink ref="A11" r:id="rId10" tooltip="Butler County, Pennsylvania" display="https://en.wikipedia.org/wiki/Butler_County,_Pennsylvania" xr:uid="{4FE83BEC-7665-3243-900C-A205B28AD04D}"/>
    <hyperlink ref="A12" r:id="rId11" tooltip="Cambria County, Pennsylvania" display="https://en.wikipedia.org/wiki/Cambria_County,_Pennsylvania" xr:uid="{BFBCB226-57D2-7C48-A40F-BBA3E7504183}"/>
    <hyperlink ref="A13" r:id="rId12" tooltip="Cameron County, Pennsylvania" display="https://en.wikipedia.org/wiki/Cameron_County,_Pennsylvania" xr:uid="{F54BA6BB-2AF6-604B-A8A3-5EA3F6D27E83}"/>
    <hyperlink ref="A14" r:id="rId13" tooltip="Carbon County, Pennsylvania" display="https://en.wikipedia.org/wiki/Carbon_County,_Pennsylvania" xr:uid="{51D403C9-337B-9C4E-B0B4-CCBE44006CA4}"/>
    <hyperlink ref="A15" r:id="rId14" tooltip="Centre County, Pennsylvania" display="https://en.wikipedia.org/wiki/Centre_County,_Pennsylvania" xr:uid="{8791860F-3707-5D4C-B03E-4FFF24F89F6B}"/>
    <hyperlink ref="A16" r:id="rId15" tooltip="Chester County, Pennsylvania" display="https://en.wikipedia.org/wiki/Chester_County,_Pennsylvania" xr:uid="{FA204465-10D2-B343-87FE-1627EE4746D3}"/>
    <hyperlink ref="A17" r:id="rId16" tooltip="Clarion County, Pennsylvania" display="https://en.wikipedia.org/wiki/Clarion_County,_Pennsylvania" xr:uid="{0437415E-7E9F-A849-8C12-9CADD363E948}"/>
    <hyperlink ref="A18" r:id="rId17" tooltip="Clearfield County, Pennsylvania" display="https://en.wikipedia.org/wiki/Clearfield_County,_Pennsylvania" xr:uid="{E0EF2294-F3CB-0647-8FF4-B6F19A38FD40}"/>
    <hyperlink ref="A19" r:id="rId18" tooltip="Clinton County, Pennsylvania" display="https://en.wikipedia.org/wiki/Clinton_County,_Pennsylvania" xr:uid="{B5F969D0-6F06-194C-9B19-15B73F3D374F}"/>
    <hyperlink ref="A20" r:id="rId19" tooltip="Columbia County, Pennsylvania" display="https://en.wikipedia.org/wiki/Columbia_County,_Pennsylvania" xr:uid="{81EE813B-17BC-AA40-8B72-4F8CC46E7F13}"/>
    <hyperlink ref="A21" r:id="rId20" tooltip="Crawford County, Pennsylvania" display="https://en.wikipedia.org/wiki/Crawford_County,_Pennsylvania" xr:uid="{C526A3C4-97B8-114D-83A6-CDCFF534E368}"/>
    <hyperlink ref="A22" r:id="rId21" tooltip="Cumberland County, Pennsylvania" display="https://en.wikipedia.org/wiki/Cumberland_County,_Pennsylvania" xr:uid="{BBFC1AFA-49A4-B444-A61D-85E85F1F5829}"/>
    <hyperlink ref="A23" r:id="rId22" tooltip="Dauphin County, Pennsylvania" display="https://en.wikipedia.org/wiki/Dauphin_County,_Pennsylvania" xr:uid="{DE615833-942D-1E4C-AD01-E7F9DE352F17}"/>
    <hyperlink ref="A24" r:id="rId23" tooltip="Delaware County, Pennsylvania" display="https://en.wikipedia.org/wiki/Delaware_County,_Pennsylvania" xr:uid="{D22B2857-3F9B-E540-93D3-0B87098F5AE4}"/>
    <hyperlink ref="A25" r:id="rId24" tooltip="Elk County, Pennsylvania" display="https://en.wikipedia.org/wiki/Elk_County,_Pennsylvania" xr:uid="{AA9AC21A-1F9A-2A42-9137-BD2593C8050B}"/>
    <hyperlink ref="A26" r:id="rId25" tooltip="Erie County, Pennsylvania" display="https://en.wikipedia.org/wiki/Erie_County,_Pennsylvania" xr:uid="{FBD835D9-72B8-6140-85DF-90D01B15FB7C}"/>
    <hyperlink ref="A27" r:id="rId26" tooltip="Fayette County, Pennsylvania" display="https://en.wikipedia.org/wiki/Fayette_County,_Pennsylvania" xr:uid="{9580EE4B-4DF5-5546-8CFB-7D5870267F53}"/>
    <hyperlink ref="A28" r:id="rId27" tooltip="Forest County, Pennsylvania" display="https://en.wikipedia.org/wiki/Forest_County,_Pennsylvania" xr:uid="{D03FAC6C-F591-FB4F-BA60-287D00AC7CB5}"/>
    <hyperlink ref="A29" r:id="rId28" tooltip="Franklin County, Pennsylvania" display="https://en.wikipedia.org/wiki/Franklin_County,_Pennsylvania" xr:uid="{AD151043-4190-2544-A5A5-0DA7F8A1FDFD}"/>
    <hyperlink ref="A30" r:id="rId29" tooltip="Fulton County, Pennsylvania" display="https://en.wikipedia.org/wiki/Fulton_County,_Pennsylvania" xr:uid="{6516AEC7-C3EB-EC4F-BB9B-E09CC3772D47}"/>
    <hyperlink ref="A31" r:id="rId30" tooltip="Greene County, Pennsylvania" display="https://en.wikipedia.org/wiki/Greene_County,_Pennsylvania" xr:uid="{18A29833-E27A-7C4D-ACB3-D23449D183F3}"/>
    <hyperlink ref="A32" r:id="rId31" tooltip="Huntingdon County, Pennsylvania" display="https://en.wikipedia.org/wiki/Huntingdon_County,_Pennsylvania" xr:uid="{1FEAAAA3-07D1-6149-B996-A702050C33C6}"/>
    <hyperlink ref="A33" r:id="rId32" tooltip="Indiana County, Pennsylvania" display="https://en.wikipedia.org/wiki/Indiana_County,_Pennsylvania" xr:uid="{1647371A-0C0E-B144-9B43-18FA53194FAD}"/>
    <hyperlink ref="A34" r:id="rId33" tooltip="Jefferson County, Pennsylvania" display="https://en.wikipedia.org/wiki/Jefferson_County,_Pennsylvania" xr:uid="{0AF61595-41A1-C640-B645-4EE06B6533DB}"/>
    <hyperlink ref="A35" r:id="rId34" tooltip="Juniata County, Pennsylvania" display="https://en.wikipedia.org/wiki/Juniata_County,_Pennsylvania" xr:uid="{3A9B4372-14A8-9545-8A90-1ADA71E37812}"/>
    <hyperlink ref="A36" r:id="rId35" tooltip="Lackawanna County, Pennsylvania" display="https://en.wikipedia.org/wiki/Lackawanna_County,_Pennsylvania" xr:uid="{37ECDCFC-D2CE-DB41-B69D-B3C182B37679}"/>
    <hyperlink ref="A37" r:id="rId36" tooltip="Lancaster County, Pennsylvania" display="https://en.wikipedia.org/wiki/Lancaster_County,_Pennsylvania" xr:uid="{27315B05-8FBC-684F-BF98-442EC5D37598}"/>
    <hyperlink ref="A38" r:id="rId37" tooltip="Lawrence County, Pennsylvania" display="https://en.wikipedia.org/wiki/Lawrence_County,_Pennsylvania" xr:uid="{E57A4931-8AE2-8B4B-A06C-9AAA4C0958E4}"/>
    <hyperlink ref="A39" r:id="rId38" tooltip="Lebanon County, Pennsylvania" display="https://en.wikipedia.org/wiki/Lebanon_County,_Pennsylvania" xr:uid="{170554B2-159C-9B49-8987-3FAE8207BAD2}"/>
    <hyperlink ref="A40" r:id="rId39" tooltip="Lehigh County, Pennsylvania" display="https://en.wikipedia.org/wiki/Lehigh_County,_Pennsylvania" xr:uid="{CED1D699-2EFC-5342-8029-7BC0DA6B5769}"/>
    <hyperlink ref="A41" r:id="rId40" tooltip="Luzerne County, Pennsylvania" display="https://en.wikipedia.org/wiki/Luzerne_County,_Pennsylvania" xr:uid="{E0FD7443-33C2-5D40-A0DD-CA6BB4F44087}"/>
    <hyperlink ref="A42" r:id="rId41" tooltip="Lycoming County, Pennsylvania" display="https://en.wikipedia.org/wiki/Lycoming_County,_Pennsylvania" xr:uid="{42DDFA50-0609-474D-9393-C4E9D40FAA84}"/>
    <hyperlink ref="A43" r:id="rId42" tooltip="McKean County, Pennsylvania" display="https://en.wikipedia.org/wiki/McKean_County,_Pennsylvania" xr:uid="{59CE869D-B8BE-5F40-9399-81B04A658177}"/>
    <hyperlink ref="A44" r:id="rId43" tooltip="Mercer County, Pennsylvania" display="https://en.wikipedia.org/wiki/Mercer_County,_Pennsylvania" xr:uid="{B6B61055-A571-E14D-BB64-50CBFA62AFEB}"/>
    <hyperlink ref="A45" r:id="rId44" tooltip="Mifflin County, Pennsylvania" display="https://en.wikipedia.org/wiki/Mifflin_County,_Pennsylvania" xr:uid="{14157F9E-B3D9-BC48-B575-2D7CEE25801B}"/>
    <hyperlink ref="A46" r:id="rId45" tooltip="Monroe County, Pennsylvania" display="https://en.wikipedia.org/wiki/Monroe_County,_Pennsylvania" xr:uid="{07A15E69-A0E6-F940-A4A2-08DEEDE9FAEE}"/>
    <hyperlink ref="A47" r:id="rId46" tooltip="Montgomery County, Pennsylvania" display="https://en.wikipedia.org/wiki/Montgomery_County,_Pennsylvania" xr:uid="{FCDFF7DD-6721-114F-B559-330B051B0606}"/>
    <hyperlink ref="A48" r:id="rId47" tooltip="Montour County, Pennsylvania" display="https://en.wikipedia.org/wiki/Montour_County,_Pennsylvania" xr:uid="{D412E923-4533-074B-B614-CB07985E09FF}"/>
    <hyperlink ref="A49" r:id="rId48" tooltip="Northampton County, Pennsylvania" display="https://en.wikipedia.org/wiki/Northampton_County,_Pennsylvania" xr:uid="{4A79FA3D-164A-C646-929A-643EADAE626A}"/>
    <hyperlink ref="A50" r:id="rId49" tooltip="Northumberland County, Pennsylvania" display="https://en.wikipedia.org/wiki/Northumberland_County,_Pennsylvania" xr:uid="{D3E468F1-09FB-AB4F-A1F0-2AB103F09AAE}"/>
    <hyperlink ref="A51" r:id="rId50" tooltip="Perry County, Pennsylvania" display="https://en.wikipedia.org/wiki/Perry_County,_Pennsylvania" xr:uid="{D5273696-8912-1747-A28F-5D01EAEC0D9B}"/>
    <hyperlink ref="A52" r:id="rId51" tooltip="Philadelphia County, Pennsylvania" display="https://en.wikipedia.org/wiki/Philadelphia_County,_Pennsylvania" xr:uid="{C13EDE49-6D4B-8143-81F6-EBCF75BF21E9}"/>
    <hyperlink ref="A53" r:id="rId52" tooltip="Pike County, Pennsylvania" display="https://en.wikipedia.org/wiki/Pike_County,_Pennsylvania" xr:uid="{CDC80EB5-74E8-1E4A-8611-43F956658150}"/>
    <hyperlink ref="A54" r:id="rId53" tooltip="Potter County, Pennsylvania" display="https://en.wikipedia.org/wiki/Potter_County,_Pennsylvania" xr:uid="{11F7465F-5F1A-1549-958C-A2F468F46560}"/>
    <hyperlink ref="A55" r:id="rId54" tooltip="Schuylkill County, Pennsylvania" display="https://en.wikipedia.org/wiki/Schuylkill_County,_Pennsylvania" xr:uid="{27F52C6E-08E5-944C-B3BC-9C10BCF9DF1A}"/>
    <hyperlink ref="A56" r:id="rId55" tooltip="Snyder County, Pennsylvania" display="https://en.wikipedia.org/wiki/Snyder_County,_Pennsylvania" xr:uid="{C1E988CF-34A2-9643-8DFD-4CE4793CB0CC}"/>
    <hyperlink ref="A57" r:id="rId56" tooltip="Somerset County, Pennsylvania" display="https://en.wikipedia.org/wiki/Somerset_County,_Pennsylvania" xr:uid="{8FB3242D-1C8E-C748-8526-F468FE0EF765}"/>
    <hyperlink ref="A58" r:id="rId57" tooltip="Sullivan County, Pennsylvania" display="https://en.wikipedia.org/wiki/Sullivan_County,_Pennsylvania" xr:uid="{0EE907F7-96B1-0D49-BFAD-B7B1BF163FAE}"/>
    <hyperlink ref="A59" r:id="rId58" tooltip="Susquehanna County, Pennsylvania" display="https://en.wikipedia.org/wiki/Susquehanna_County,_Pennsylvania" xr:uid="{05F3C0EE-CF25-E148-8BB9-2F4AF11BC551}"/>
    <hyperlink ref="A60" r:id="rId59" tooltip="Tioga County, Pennsylvania" display="https://en.wikipedia.org/wiki/Tioga_County,_Pennsylvania" xr:uid="{BCEC941F-F3F3-7F41-839D-20679B7D8676}"/>
    <hyperlink ref="A61" r:id="rId60" tooltip="Union County, Pennsylvania" display="https://en.wikipedia.org/wiki/Union_County,_Pennsylvania" xr:uid="{101BA1D6-3472-6243-9C1B-20D171F779EC}"/>
    <hyperlink ref="A62" r:id="rId61" tooltip="Venango County, Pennsylvania" display="https://en.wikipedia.org/wiki/Venango_County,_Pennsylvania" xr:uid="{5EFC7268-9DB3-034E-8A80-7C4ED7999251}"/>
    <hyperlink ref="A63" r:id="rId62" tooltip="Warren County, Pennsylvania" display="https://en.wikipedia.org/wiki/Warren_County,_Pennsylvania" xr:uid="{8532921A-8BD4-A745-84C3-58AB49DBD46B}"/>
    <hyperlink ref="A64" r:id="rId63" tooltip="Washington County, Pennsylvania" display="https://en.wikipedia.org/wiki/Washington_County,_Pennsylvania" xr:uid="{ADEA95D8-9EBC-2846-93E7-21525D43EA68}"/>
    <hyperlink ref="A65" r:id="rId64" tooltip="Wayne County, Pennsylvania" display="https://en.wikipedia.org/wiki/Wayne_County,_Pennsylvania" xr:uid="{8AE56B0A-48A9-E846-8DD1-A5734A01D613}"/>
    <hyperlink ref="A66" r:id="rId65" tooltip="Westmoreland County, Pennsylvania" display="https://en.wikipedia.org/wiki/Westmoreland_County,_Pennsylvania" xr:uid="{9B45A2D4-87A8-D343-AEA1-C6DB8091473B}"/>
    <hyperlink ref="A67" r:id="rId66" tooltip="Wyoming County, Pennsylvania" display="https://en.wikipedia.org/wiki/Wyoming_County,_Pennsylvania" xr:uid="{A7647846-ED16-9642-992A-306E25E13ADD}"/>
    <hyperlink ref="A68" r:id="rId67" tooltip="York County, Pennsylvania" display="https://en.wikipedia.org/wiki/York_County,_Pennsylvania" xr:uid="{84148DE5-01B3-BB45-80AE-F40A8AB160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Vellage</dc:creator>
  <cp:lastModifiedBy>Luca Vellage</cp:lastModifiedBy>
  <dcterms:created xsi:type="dcterms:W3CDTF">2024-05-23T14:51:45Z</dcterms:created>
  <dcterms:modified xsi:type="dcterms:W3CDTF">2024-05-23T16:36:37Z</dcterms:modified>
</cp:coreProperties>
</file>